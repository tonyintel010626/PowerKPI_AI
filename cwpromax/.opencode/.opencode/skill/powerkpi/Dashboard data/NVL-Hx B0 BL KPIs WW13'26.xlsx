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.sharepoint.com/sites/ivecavepnppg/Shared Documents/General/Projects/NVL/Power KPIs/Result/NVL Hx/NVL HX B0/Dashboard/"/>
    </mc:Choice>
  </mc:AlternateContent>
  <xr:revisionPtr revIDLastSave="0" documentId="8_{C21BEE71-BD3E-4C5D-80F2-90504C079BFA}" xr6:coauthVersionLast="47" xr6:coauthVersionMax="47" xr10:uidLastSave="{00000000-0000-0000-0000-000000000000}"/>
  <bookViews>
    <workbookView minimized="1" xWindow="1860" yWindow="1860" windowWidth="14400" windowHeight="8170" firstSheet="1" activeTab="1" xr2:uid="{00000000-000D-0000-FFFF-FFFF00000000}"/>
  </bookViews>
  <sheets>
    <sheet name="NVL_Hx_Dashboard" sheetId="1" r:id="rId1"/>
    <sheet name="Debug_power" sheetId="3" r:id="rId2"/>
    <sheet name="Sheet2" sheetId="2" r:id="rId3"/>
    <sheet name="graph" sheetId="4" r:id="rId4"/>
    <sheet name="PCD specific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D8" i="1"/>
  <c r="D6" i="1"/>
  <c r="D10" i="1"/>
  <c r="D5" i="1"/>
  <c r="D7" i="1"/>
  <c r="D9" i="1"/>
  <c r="D4" i="1"/>
  <c r="D2" i="1"/>
  <c r="G5" i="1"/>
  <c r="G6" i="1"/>
  <c r="G7" i="1"/>
  <c r="G8" i="1"/>
  <c r="G9" i="1"/>
  <c r="G10" i="1"/>
  <c r="G3" i="1"/>
  <c r="G2" i="1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J20" i="4"/>
  <c r="I20" i="4"/>
  <c r="H20" i="4"/>
  <c r="G20" i="4"/>
  <c r="F20" i="4"/>
  <c r="E20" i="4"/>
  <c r="D20" i="4"/>
  <c r="C20" i="4"/>
  <c r="B20" i="4"/>
  <c r="J16" i="4"/>
  <c r="I16" i="4"/>
  <c r="H16" i="4"/>
  <c r="G16" i="4"/>
  <c r="F16" i="4"/>
  <c r="E16" i="4"/>
  <c r="D16" i="4"/>
  <c r="C16" i="4"/>
  <c r="B16" i="4"/>
  <c r="J15" i="4"/>
  <c r="I15" i="4"/>
  <c r="H15" i="4"/>
  <c r="G15" i="4"/>
  <c r="F15" i="4"/>
  <c r="E15" i="4"/>
  <c r="D15" i="4"/>
  <c r="C15" i="4"/>
  <c r="B15" i="4"/>
  <c r="J14" i="4"/>
  <c r="I14" i="4"/>
  <c r="H14" i="4"/>
  <c r="G14" i="4"/>
  <c r="F14" i="4"/>
  <c r="E14" i="4"/>
  <c r="D14" i="4"/>
  <c r="C14" i="4"/>
  <c r="B14" i="4"/>
  <c r="J13" i="4"/>
  <c r="I13" i="4"/>
  <c r="H13" i="4"/>
  <c r="G13" i="4"/>
  <c r="F13" i="4"/>
  <c r="E13" i="4"/>
  <c r="D13" i="4"/>
  <c r="C13" i="4"/>
  <c r="B13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J10" i="4"/>
  <c r="I10" i="4"/>
  <c r="H10" i="4"/>
  <c r="G10" i="4"/>
  <c r="F10" i="4"/>
  <c r="E10" i="4"/>
  <c r="D10" i="4"/>
  <c r="C10" i="4"/>
  <c r="B10" i="4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B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4" i="4"/>
  <c r="I4" i="4"/>
  <c r="H4" i="4"/>
  <c r="G4" i="4"/>
  <c r="F4" i="4"/>
  <c r="E4" i="4"/>
  <c r="D4" i="4"/>
  <c r="C4" i="4"/>
  <c r="B4" i="4"/>
  <c r="V5" i="3"/>
  <c r="V6" i="3"/>
  <c r="V7" i="3"/>
  <c r="V8" i="3"/>
  <c r="V9" i="3"/>
  <c r="V10" i="3"/>
  <c r="V11" i="3"/>
  <c r="V12" i="3"/>
  <c r="V13" i="3"/>
  <c r="V14" i="3"/>
  <c r="V15" i="3"/>
  <c r="V16" i="3"/>
  <c r="AB29" i="3"/>
  <c r="AB28" i="3"/>
  <c r="AB27" i="3"/>
  <c r="AB25" i="3"/>
  <c r="AB24" i="3"/>
  <c r="AB23" i="3"/>
  <c r="AB22" i="3"/>
  <c r="AB21" i="3"/>
  <c r="AB20" i="3"/>
  <c r="AB19" i="3"/>
  <c r="AB16" i="3"/>
  <c r="AB15" i="3"/>
  <c r="AB14" i="3"/>
  <c r="AB13" i="3"/>
  <c r="AB12" i="3"/>
  <c r="AB11" i="3"/>
  <c r="AB8" i="3"/>
  <c r="AB7" i="3"/>
  <c r="AB6" i="3"/>
  <c r="AB5" i="3"/>
  <c r="AB4" i="3"/>
  <c r="S29" i="3"/>
  <c r="S28" i="3"/>
  <c r="S27" i="3"/>
  <c r="S25" i="3"/>
  <c r="S24" i="3"/>
  <c r="S23" i="3"/>
  <c r="S22" i="3"/>
  <c r="S21" i="3"/>
  <c r="S20" i="3"/>
  <c r="S19" i="3"/>
  <c r="S16" i="3"/>
  <c r="S15" i="3"/>
  <c r="S14" i="3"/>
  <c r="S13" i="3"/>
  <c r="S12" i="3"/>
  <c r="S11" i="3"/>
  <c r="S8" i="3"/>
  <c r="S7" i="3"/>
  <c r="S6" i="3"/>
  <c r="S5" i="3"/>
  <c r="S4" i="3"/>
  <c r="Y29" i="3"/>
  <c r="V29" i="3"/>
  <c r="Y28" i="3"/>
  <c r="V28" i="3"/>
  <c r="Y27" i="3"/>
  <c r="V27" i="3"/>
  <c r="Y25" i="3"/>
  <c r="V25" i="3"/>
  <c r="Y24" i="3"/>
  <c r="V24" i="3"/>
  <c r="Y23" i="3"/>
  <c r="V23" i="3"/>
  <c r="Y22" i="3"/>
  <c r="V22" i="3"/>
  <c r="Y21" i="3"/>
  <c r="V21" i="3"/>
  <c r="Y20" i="3"/>
  <c r="V20" i="3"/>
  <c r="Y19" i="3"/>
  <c r="V19" i="3"/>
  <c r="Y16" i="3"/>
  <c r="Y15" i="3"/>
  <c r="Y14" i="3"/>
  <c r="Y13" i="3"/>
  <c r="Y12" i="3"/>
  <c r="Y11" i="3"/>
  <c r="Y8" i="3"/>
  <c r="Y7" i="3"/>
  <c r="Y6" i="3"/>
  <c r="Y5" i="3"/>
  <c r="Y4" i="3"/>
  <c r="V4" i="3"/>
  <c r="P29" i="3"/>
  <c r="P28" i="3"/>
  <c r="P27" i="3"/>
  <c r="P25" i="3"/>
  <c r="P24" i="3"/>
  <c r="P23" i="3"/>
  <c r="P22" i="3"/>
  <c r="P21" i="3"/>
  <c r="P20" i="3"/>
  <c r="P19" i="3"/>
  <c r="M29" i="3"/>
  <c r="M28" i="3"/>
  <c r="M27" i="3"/>
  <c r="M25" i="3"/>
  <c r="M24" i="3"/>
  <c r="M23" i="3"/>
  <c r="M22" i="3"/>
  <c r="M21" i="3"/>
  <c r="M20" i="3"/>
  <c r="M19" i="3"/>
  <c r="J29" i="3"/>
  <c r="J28" i="3"/>
  <c r="J27" i="3"/>
  <c r="J25" i="3"/>
  <c r="J24" i="3"/>
  <c r="J23" i="3"/>
  <c r="J22" i="3"/>
  <c r="J21" i="3"/>
  <c r="J20" i="3"/>
  <c r="J19" i="3"/>
  <c r="G29" i="3"/>
  <c r="G28" i="3"/>
  <c r="G27" i="3"/>
  <c r="G25" i="3"/>
  <c r="G24" i="3"/>
  <c r="G23" i="3"/>
  <c r="G22" i="3"/>
  <c r="G21" i="3"/>
  <c r="G20" i="3"/>
  <c r="G19" i="3"/>
  <c r="D28" i="3"/>
  <c r="D29" i="3"/>
  <c r="D27" i="3"/>
  <c r="D20" i="3"/>
  <c r="D21" i="3"/>
  <c r="D22" i="3"/>
  <c r="D23" i="3"/>
  <c r="D24" i="3"/>
  <c r="D25" i="3"/>
  <c r="D19" i="3"/>
  <c r="M15" i="3"/>
  <c r="M14" i="3"/>
  <c r="M13" i="3"/>
  <c r="M12" i="3"/>
  <c r="M11" i="3"/>
  <c r="M8" i="3"/>
  <c r="M7" i="3"/>
  <c r="M6" i="3"/>
  <c r="M5" i="3"/>
  <c r="M4" i="3"/>
  <c r="M16" i="3"/>
  <c r="P16" i="3"/>
  <c r="P15" i="3"/>
  <c r="P14" i="3"/>
  <c r="P13" i="3"/>
  <c r="P12" i="3"/>
  <c r="P11" i="3"/>
  <c r="P8" i="3"/>
  <c r="P7" i="3"/>
  <c r="P6" i="3"/>
  <c r="P5" i="3"/>
  <c r="P4" i="3"/>
  <c r="J15" i="3"/>
  <c r="J14" i="3"/>
  <c r="J13" i="3"/>
  <c r="J12" i="3"/>
  <c r="J11" i="3"/>
  <c r="J8" i="3"/>
  <c r="J7" i="3"/>
  <c r="J6" i="3"/>
  <c r="J5" i="3"/>
  <c r="J4" i="3"/>
  <c r="G15" i="3"/>
  <c r="G14" i="3"/>
  <c r="G13" i="3"/>
  <c r="G12" i="3"/>
  <c r="G11" i="3"/>
  <c r="G8" i="3"/>
  <c r="G7" i="3"/>
  <c r="G6" i="3"/>
  <c r="G5" i="3"/>
  <c r="J16" i="3"/>
  <c r="G16" i="3"/>
  <c r="D5" i="3"/>
  <c r="D6" i="3"/>
  <c r="D7" i="3"/>
  <c r="D8" i="3"/>
  <c r="D11" i="3"/>
  <c r="D12" i="3"/>
  <c r="D13" i="3"/>
  <c r="D14" i="3"/>
  <c r="D15" i="3"/>
  <c r="D4" i="3"/>
  <c r="D16" i="3"/>
  <c r="D3" i="1"/>
</calcChain>
</file>

<file path=xl/sharedStrings.xml><?xml version="1.0" encoding="utf-8"?>
<sst xmlns="http://schemas.openxmlformats.org/spreadsheetml/2006/main" count="272" uniqueCount="132">
  <si>
    <r>
      <t>Power KPIs</t>
    </r>
    <r>
      <rPr>
        <sz val="8"/>
        <color rgb="FF000000"/>
        <rFont val="IntelOne Display Regular"/>
        <family val="2"/>
      </rPr>
      <t>​</t>
    </r>
  </si>
  <si>
    <r>
      <t>PRQ Commit</t>
    </r>
    <r>
      <rPr>
        <sz val="8"/>
        <color rgb="FF000000"/>
        <rFont val="IntelOne Display Regular"/>
        <family val="2"/>
      </rPr>
      <t>​</t>
    </r>
    <r>
      <rPr>
        <b/>
        <sz val="8"/>
        <color rgb="FF000000"/>
        <rFont val="IntelOne Display Regular"/>
        <family val="2"/>
      </rPr>
      <t xml:space="preserve"> (Q4’23)​
 (mW)​</t>
    </r>
  </si>
  <si>
    <r>
      <rPr>
        <b/>
        <sz val="8"/>
        <color rgb="FF0070C0"/>
        <rFont val="IntelOne Display Regular"/>
      </rPr>
      <t>Q1'26 </t>
    </r>
    <r>
      <rPr>
        <sz val="8"/>
        <color rgb="FF0070C0"/>
        <rFont val="IntelOne Display Regular"/>
      </rPr>
      <t xml:space="preserve">​
</t>
    </r>
    <r>
      <rPr>
        <b/>
        <sz val="8"/>
        <color rgb="FF0070C0"/>
        <rFont val="IntelOne Display Regular"/>
      </rPr>
      <t>Update</t>
    </r>
    <r>
      <rPr>
        <sz val="8"/>
        <color rgb="FF0070C0"/>
        <rFont val="IntelOne Display Regular"/>
      </rPr>
      <t>​</t>
    </r>
    <r>
      <rPr>
        <b/>
        <sz val="8"/>
        <color rgb="FF0070C0"/>
        <rFont val="IntelOne Display Regular"/>
      </rPr>
      <t xml:space="preserve"> (mW)​</t>
    </r>
  </si>
  <si>
    <r>
      <rPr>
        <b/>
        <sz val="8"/>
        <color rgb="FF000000"/>
        <rFont val="IntelOne Display Regular"/>
      </rPr>
      <t>Ratio </t>
    </r>
    <r>
      <rPr>
        <sz val="8"/>
        <color rgb="FF000000"/>
        <rFont val="IntelOne Display Regular"/>
      </rPr>
      <t>​</t>
    </r>
    <r>
      <rPr>
        <b/>
        <sz val="8"/>
        <color rgb="FF000000"/>
        <rFont val="IntelOne Display Regular"/>
      </rPr>
      <t>(Q1’25/Commit)​</t>
    </r>
  </si>
  <si>
    <r>
      <rPr>
        <b/>
        <sz val="7.95"/>
        <color rgb="FF000000"/>
        <rFont val="IntelOne Display Regular"/>
      </rPr>
      <t>Measured WW09'26</t>
    </r>
    <r>
      <rPr>
        <sz val="7.95"/>
        <color rgb="FF000000"/>
        <rFont val="IntelOne Display Regular"/>
      </rPr>
      <t>​</t>
    </r>
  </si>
  <si>
    <r>
      <rPr>
        <b/>
        <sz val="7.95"/>
        <color rgb="FF000000"/>
        <rFont val="IntelOne Display Regular"/>
      </rPr>
      <t>Measured WW13'26</t>
    </r>
    <r>
      <rPr>
        <sz val="7.95"/>
        <color rgb="FF000000"/>
        <rFont val="IntelOne Display Regular"/>
      </rPr>
      <t>​</t>
    </r>
  </si>
  <si>
    <r>
      <t>Ratio (Measured WW13/Q4’25)</t>
    </r>
    <r>
      <rPr>
        <sz val="8"/>
        <color rgb="FF000000"/>
        <rFont val="IntelOne Display Regular"/>
      </rPr>
      <t>​</t>
    </r>
  </si>
  <si>
    <r>
      <t>Best Bridge Measured (mW)</t>
    </r>
    <r>
      <rPr>
        <sz val="8"/>
        <color rgb="FF000000"/>
        <rFont val="IntelOne Display Regular"/>
        <family val="2"/>
      </rPr>
      <t>​</t>
    </r>
  </si>
  <si>
    <r>
      <t xml:space="preserve">Ratio </t>
    </r>
    <r>
      <rPr>
        <sz val="8"/>
        <color rgb="FF000000"/>
        <rFont val="IntelOne Display Regular"/>
        <family val="2"/>
      </rPr>
      <t>​</t>
    </r>
    <r>
      <rPr>
        <b/>
        <sz val="8"/>
        <color rgb="FF000000"/>
        <rFont val="IntelOne Display Regular"/>
        <family val="2"/>
      </rPr>
      <t>(Best Bridge /Q4’25)​</t>
    </r>
  </si>
  <si>
    <r>
      <t>ARL QS PPG</t>
    </r>
    <r>
      <rPr>
        <sz val="8"/>
        <color rgb="FF000000"/>
        <rFont val="IntelOne Display Regular"/>
        <family val="2"/>
      </rPr>
      <t>​</t>
    </r>
    <r>
      <rPr>
        <b/>
        <sz val="8"/>
        <color rgb="FF000000"/>
        <rFont val="IntelOne Display Regular"/>
        <family val="2"/>
      </rPr>
      <t xml:space="preserve">
(mW)</t>
    </r>
    <r>
      <rPr>
        <sz val="8"/>
        <color rgb="FF000000"/>
        <rFont val="IntelOne Display Regular"/>
        <family val="2"/>
      </rPr>
      <t>​</t>
    </r>
  </si>
  <si>
    <t>Remarks</t>
  </si>
  <si>
    <t xml:space="preserve">OS Idle </t>
  </si>
  <si>
    <r>
      <t>109 (WW52’24)</t>
    </r>
    <r>
      <rPr>
        <sz val="7.95"/>
        <color rgb="FF000000"/>
        <rFont val="IntelOne Display Regular"/>
        <charset val="1"/>
      </rPr>
      <t>​</t>
    </r>
  </si>
  <si>
    <t>​</t>
  </si>
  <si>
    <r>
      <t>237</t>
    </r>
    <r>
      <rPr>
        <sz val="7.95"/>
        <color rgb="FF000000"/>
        <rFont val="IntelOne Display Regular"/>
        <charset val="1"/>
      </rPr>
      <t>​</t>
    </r>
  </si>
  <si>
    <t xml:space="preserve">Busy Idle </t>
  </si>
  <si>
    <r>
      <t>243</t>
    </r>
    <r>
      <rPr>
        <sz val="7.95"/>
        <color rgb="FF000000"/>
        <rFont val="IntelOne Display Regular"/>
        <charset val="1"/>
      </rPr>
      <t>​</t>
    </r>
  </si>
  <si>
    <r>
      <t>359 (WW27’25)</t>
    </r>
    <r>
      <rPr>
        <sz val="7.95"/>
        <color rgb="FF000000"/>
        <rFont val="IntelOne Display Regular"/>
        <charset val="1"/>
      </rPr>
      <t>​</t>
    </r>
  </si>
  <si>
    <r>
      <t>NA</t>
    </r>
    <r>
      <rPr>
        <sz val="7.95"/>
        <color rgb="FF000000"/>
        <rFont val="IntelOne Display Regular"/>
        <charset val="1"/>
      </rPr>
      <t>​</t>
    </r>
  </si>
  <si>
    <t>spotify ads pop out consumed high power</t>
  </si>
  <si>
    <t xml:space="preserve">Netflix 1080p AVC/H.264 </t>
  </si>
  <si>
    <r>
      <t>1691</t>
    </r>
    <r>
      <rPr>
        <sz val="7.95"/>
        <color rgb="FF000000"/>
        <rFont val="IntelOne Display Regular"/>
        <charset val="1"/>
      </rPr>
      <t>​</t>
    </r>
  </si>
  <si>
    <t>Run in Chrome</t>
  </si>
  <si>
    <t>DRAM check, acc</t>
  </si>
  <si>
    <t xml:space="preserve">AVI 4K YouTube 4K30 AV1 </t>
  </si>
  <si>
    <r>
      <t>3535</t>
    </r>
    <r>
      <rPr>
        <sz val="7.95"/>
        <color rgb="FF000000"/>
        <rFont val="IntelOne Display Regular"/>
        <charset val="1"/>
      </rPr>
      <t>​</t>
    </r>
  </si>
  <si>
    <t xml:space="preserve">4-tab browsing –Catapult </t>
  </si>
  <si>
    <r>
      <t>1017 (WW52’24)</t>
    </r>
    <r>
      <rPr>
        <sz val="7.95"/>
        <color rgb="FF000000"/>
        <rFont val="IntelOne Display Regular"/>
        <charset val="1"/>
      </rPr>
      <t>​</t>
    </r>
  </si>
  <si>
    <r>
      <t>1588</t>
    </r>
    <r>
      <rPr>
        <sz val="7.95"/>
        <color rgb="FF000000"/>
        <rFont val="IntelOne Display Regular"/>
        <charset val="1"/>
      </rPr>
      <t>​</t>
    </r>
  </si>
  <si>
    <t xml:space="preserve">Teams 3x3 </t>
  </si>
  <si>
    <r>
      <t>8191</t>
    </r>
    <r>
      <rPr>
        <sz val="7.95"/>
        <color rgb="FF000000"/>
        <rFont val="IntelOne Display Regular"/>
        <charset val="1"/>
      </rPr>
      <t>​</t>
    </r>
  </si>
  <si>
    <t>Teams 3x3  with MEP</t>
  </si>
  <si>
    <r>
      <t>2433 (WW14’25)</t>
    </r>
    <r>
      <rPr>
        <sz val="7.95"/>
        <color rgb="FF000000"/>
        <rFont val="IntelOne Display Regular"/>
        <charset val="1"/>
      </rPr>
      <t>​</t>
    </r>
  </si>
  <si>
    <t xml:space="preserve">MCS </t>
  </si>
  <si>
    <r>
      <t>70</t>
    </r>
    <r>
      <rPr>
        <sz val="7.95"/>
        <color rgb="FF000000"/>
        <rFont val="IntelOne Display Regular"/>
        <charset val="1"/>
      </rPr>
      <t>​</t>
    </r>
  </si>
  <si>
    <t>ISH dis/en - check s0ix changes</t>
  </si>
  <si>
    <t xml:space="preserve">MM30 </t>
  </si>
  <si>
    <r>
      <t>1625 (WW14’25)</t>
    </r>
    <r>
      <rPr>
        <sz val="7.95"/>
        <color rgb="FF000000"/>
        <rFont val="IntelOne Display Regular"/>
        <charset val="1"/>
      </rPr>
      <t>​</t>
    </r>
  </si>
  <si>
    <r>
      <t>2717 (Perf-1143)</t>
    </r>
    <r>
      <rPr>
        <sz val="7.95"/>
        <color rgb="FF000000"/>
        <rFont val="IntelOne Display Regular"/>
        <charset val="1"/>
      </rPr>
      <t>​</t>
    </r>
  </si>
  <si>
    <t>Data from FM</t>
  </si>
  <si>
    <t>WW11'26 Dashboard from PTP FM</t>
  </si>
  <si>
    <t>WW14'26 Dashboard</t>
  </si>
  <si>
    <t>Temp (mW)​</t>
  </si>
  <si>
    <t>IDON</t>
  </si>
  <si>
    <t>Ratio​</t>
  </si>
  <si>
    <t>CMS</t>
  </si>
  <si>
    <t xml:space="preserve">Netflix </t>
  </si>
  <si>
    <t>Youtube 4K</t>
  </si>
  <si>
    <t>Catapult Brow</t>
  </si>
  <si>
    <t>Busy Idle</t>
  </si>
  <si>
    <t>Teams3x3</t>
  </si>
  <si>
    <t>Teams3x3 MEP</t>
  </si>
  <si>
    <t>MM30</t>
  </si>
  <si>
    <t>Pre</t>
  </si>
  <si>
    <t>Post</t>
  </si>
  <si>
    <t>(Post/Pre)​</t>
  </si>
  <si>
    <t>P_VCC_LP_ECORE</t>
  </si>
  <si>
    <t>P_VCCPRIM_IO</t>
  </si>
  <si>
    <t>P_VCCPRIM_VNNAON</t>
  </si>
  <si>
    <t>P_VCCPRIM_1P8​</t>
  </si>
  <si>
    <t>P_VCCRTC</t>
  </si>
  <si>
    <t>P_VCCPRIM_1P8_FLTRA</t>
  </si>
  <si>
    <t>P_VCCPRIM_1P8_FLTRB</t>
  </si>
  <si>
    <t>P_VDDQ_CPU</t>
  </si>
  <si>
    <t>P_VDD2H_CPU</t>
  </si>
  <si>
    <t>P_VCCCORE</t>
  </si>
  <si>
    <t>P_VCCGT</t>
  </si>
  <si>
    <t>P_VCCSA</t>
  </si>
  <si>
    <t>high SA  Voltage, high movement between CORE and LP (hub die). output.csv (socwatch)</t>
  </si>
  <si>
    <t>P_MCP_TOTAL</t>
  </si>
  <si>
    <t>Post-Pre</t>
  </si>
  <si>
    <t>PkgC0</t>
  </si>
  <si>
    <t>PkgC2</t>
  </si>
  <si>
    <t>PkgC6.1</t>
  </si>
  <si>
    <t>PkgC6.2</t>
  </si>
  <si>
    <t>PkgC10.1</t>
  </si>
  <si>
    <t>PkgC10.2</t>
  </si>
  <si>
    <t>PkgC10.3</t>
  </si>
  <si>
    <t>S0i2.0</t>
  </si>
  <si>
    <t>S0i2.1</t>
  </si>
  <si>
    <t>S0i2.2</t>
  </si>
  <si>
    <t>Configuration DDR5 + nonPSR [PG16WVAW3098]</t>
  </si>
  <si>
    <t>Comments</t>
  </si>
  <si>
    <t>RVP:</t>
  </si>
  <si>
    <t>IFWI:</t>
  </si>
  <si>
    <t>OS:</t>
  </si>
  <si>
    <t>UNIT QDF:</t>
  </si>
  <si>
    <t>WIFI CARD:</t>
  </si>
  <si>
    <t>HEADSET:</t>
  </si>
  <si>
    <t>Polyvoyager 4320 Headset</t>
  </si>
  <si>
    <t>MOUSE:</t>
  </si>
  <si>
    <t>MICROSOFT FUH-00001 SURFACE PRECISION MOUSE</t>
  </si>
  <si>
    <t>CAMERA:</t>
  </si>
  <si>
    <t>No Camera Attached</t>
  </si>
  <si>
    <t>DEBUG TOOL:</t>
  </si>
  <si>
    <t>XDP</t>
  </si>
  <si>
    <t>NVME:</t>
  </si>
  <si>
    <t>Samsung PM9A1a  512GB M.2 SSD - MZ-VL2512B - MZ-VL2512B</t>
  </si>
  <si>
    <t>EDP PANEL</t>
  </si>
  <si>
    <t>Measured</t>
  </si>
  <si>
    <t>P_VCC_LP_ECORE-measured</t>
  </si>
  <si>
    <t>P_VCCPRIM_IO-measured</t>
  </si>
  <si>
    <t>P_VCCPRIM_VNNAON-measured</t>
  </si>
  <si>
    <t>P_VCCPRIM_1P8​-measured</t>
  </si>
  <si>
    <t>P_VCCRTC-measured</t>
  </si>
  <si>
    <t>P_VCCPRIM_1P8_FLTRA-measured</t>
  </si>
  <si>
    <t>P_VCCPRIM_1P8_FLTRB-measured</t>
  </si>
  <si>
    <t>P_VDDQ_CPU-measured</t>
  </si>
  <si>
    <t>P_VDD2H_CPU-measured</t>
  </si>
  <si>
    <t>P_VCCCORE-measured</t>
  </si>
  <si>
    <t>P_VCCGT-measured</t>
  </si>
  <si>
    <t>P_VCCSA-measured</t>
  </si>
  <si>
    <t>P_MCP_TOTAL-measured</t>
  </si>
  <si>
    <t>Projected</t>
  </si>
  <si>
    <t>P_VCC_LP_ECORE-projected</t>
  </si>
  <si>
    <t>P_VCCPRIM_IO-projected</t>
  </si>
  <si>
    <t>P_VCCPRIM_VNNAON-projected</t>
  </si>
  <si>
    <t>P_VCCPRIM_1P8​-projected</t>
  </si>
  <si>
    <t>P_VCCRTC-projected</t>
  </si>
  <si>
    <t>P_VCCPRIM_1P8_FLTRA-projected</t>
  </si>
  <si>
    <t>P_VCCPRIM_1P8_FLTRB-projected</t>
  </si>
  <si>
    <t>P_VDDQ_CPU-projected</t>
  </si>
  <si>
    <t>P_VDD2H_CPU-projected</t>
  </si>
  <si>
    <t>P_VCCCORE-projected</t>
  </si>
  <si>
    <t>P_VCCGT-projected</t>
  </si>
  <si>
    <t>P_VCCSA-projected</t>
  </si>
  <si>
    <t>P_MCP_TOTAL-projected</t>
  </si>
  <si>
    <t>P_PCD_SHARED_TOTAL include: </t>
  </si>
  <si>
    <t>P_VCCPRIM_1P8+P_VCCPRIM_1P8_FLTRA+P_VCCPRIM_1P8_FLTRB+P_VCCPRIM_IO+P_VCCPRIM_VNNAON+P_VCCRTC</t>
  </si>
  <si>
    <t>Power (mW)​</t>
  </si>
  <si>
    <t> </t>
  </si>
  <si>
    <t xml:space="preserve">PCD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</si>
</sst>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1"/>
      <color theme="1"/>
      <name val="Calibri"/>
      <family val="2"/>
      <scheme val="minor"/>
    </font>
    <font>
      <sz val="8"/>
      <color rgb="FF000000"/>
      <name val="IntelOne Display Regular"/>
      <family val="2"/>
    </font>
    <font>
      <b/>
      <sz val="8"/>
      <color rgb="FF000000"/>
      <name val="IntelOne Display Regular"/>
      <family val="2"/>
    </font>
    <font>
      <b/>
      <sz val="8"/>
      <color rgb="FF000000"/>
      <name val="IntelOne Display Regular"/>
    </font>
    <font>
      <sz val="8"/>
      <color rgb="FF000000"/>
      <name val="IntelOne Display Regular"/>
    </font>
    <font>
      <b/>
      <sz val="8"/>
      <color rgb="FF0070C0"/>
      <name val="IntelOne Display Regular"/>
    </font>
    <font>
      <sz val="8"/>
      <color rgb="FF0070C0"/>
      <name val="IntelOne Display Regular"/>
    </font>
    <font>
      <sz val="7.95"/>
      <color rgb="FF000000"/>
      <name val="IntelOne Display Regular"/>
      <charset val="1"/>
    </font>
    <font>
      <b/>
      <sz val="7.95"/>
      <color rgb="FF000000"/>
      <name val="IntelOne Display Regular"/>
    </font>
    <font>
      <sz val="7.95"/>
      <color rgb="FF000000"/>
      <name val="IntelOne Display Regular"/>
    </font>
    <font>
      <b/>
      <sz val="11"/>
      <color theme="1"/>
      <name val="Calibri"/>
      <family val="2"/>
      <scheme val="minor"/>
    </font>
    <font>
      <b/>
      <sz val="11"/>
      <color rgb="FF000000"/>
      <name val="Intel Clear Light"/>
      <charset val="1"/>
    </font>
    <font>
      <sz val="11"/>
      <color rgb="FFFFFFFF"/>
      <name val="Intel Clear Light"/>
    </font>
    <font>
      <sz val="11"/>
      <color rgb="FFFFFFFF"/>
      <name val="Intel Clear Light"/>
      <charset val="1"/>
    </font>
    <font>
      <sz val="11"/>
      <color rgb="FF000000"/>
      <name val="Intel Clear Light"/>
      <charset val="1"/>
    </font>
    <font>
      <b/>
      <sz val="12"/>
      <color rgb="FF000000"/>
      <name val="Intel Clear Light"/>
      <charset val="1"/>
    </font>
    <font>
      <sz val="11"/>
      <color rgb="FFFF0000"/>
      <name val="Intel Clear Light"/>
      <charset val="1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b/>
      <sz val="11"/>
      <color rgb="FF000000"/>
      <name val="Intel Clear Light"/>
      <family val="2"/>
    </font>
    <font>
      <sz val="11"/>
      <color rgb="FFFFFFFF"/>
      <name val="Intel Clear Light"/>
      <family val="2"/>
    </font>
    <font>
      <sz val="11"/>
      <color rgb="FF000000"/>
      <name val="Intel Clear Light"/>
      <family val="2"/>
    </font>
    <font>
      <sz val="11"/>
      <color rgb="FFFF0000"/>
      <name val="Intel Clear Light"/>
      <family val="2"/>
    </font>
    <font>
      <sz val="7.95"/>
      <color rgb="FF000000"/>
      <name val="IntelOne Display Regular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wrapText="1"/>
    </xf>
    <xf numFmtId="2" fontId="7" fillId="0" borderId="2" xfId="0" applyNumberFormat="1" applyFont="1" applyBorder="1" applyAlignment="1">
      <alignment wrapText="1"/>
    </xf>
    <xf numFmtId="0" fontId="10" fillId="3" borderId="5" xfId="0" applyFont="1" applyFill="1" applyBorder="1" applyAlignment="1">
      <alignment horizontal="center"/>
    </xf>
    <xf numFmtId="0" fontId="10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14" fillId="0" borderId="8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2" fontId="14" fillId="0" borderId="2" xfId="0" applyNumberFormat="1" applyFont="1" applyBorder="1" applyAlignment="1">
      <alignment horizontal="center" wrapText="1"/>
    </xf>
    <xf numFmtId="2" fontId="14" fillId="4" borderId="2" xfId="0" applyNumberFormat="1" applyFont="1" applyFill="1" applyBorder="1" applyAlignment="1">
      <alignment horizontal="center" wrapText="1"/>
    </xf>
    <xf numFmtId="2" fontId="14" fillId="4" borderId="12" xfId="0" applyNumberFormat="1" applyFont="1" applyFill="1" applyBorder="1" applyAlignment="1">
      <alignment horizontal="center" wrapText="1"/>
    </xf>
    <xf numFmtId="2" fontId="14" fillId="0" borderId="13" xfId="0" quotePrefix="1" applyNumberFormat="1" applyFont="1" applyBorder="1" applyAlignment="1">
      <alignment horizontal="center" wrapText="1"/>
    </xf>
    <xf numFmtId="2" fontId="14" fillId="0" borderId="16" xfId="0" applyNumberFormat="1" applyFont="1" applyBorder="1" applyAlignment="1">
      <alignment horizontal="center" wrapText="1"/>
    </xf>
    <xf numFmtId="0" fontId="15" fillId="0" borderId="6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2" fontId="14" fillId="0" borderId="2" xfId="0" quotePrefix="1" applyNumberFormat="1" applyFont="1" applyBorder="1" applyAlignment="1">
      <alignment horizontal="center" wrapText="1"/>
    </xf>
    <xf numFmtId="0" fontId="11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2" fontId="14" fillId="0" borderId="10" xfId="0" applyNumberFormat="1" applyFont="1" applyBorder="1" applyAlignment="1">
      <alignment wrapText="1"/>
    </xf>
    <xf numFmtId="2" fontId="14" fillId="0" borderId="12" xfId="0" quotePrefix="1" applyNumberFormat="1" applyFont="1" applyBorder="1" applyAlignment="1">
      <alignment horizontal="center" wrapText="1"/>
    </xf>
    <xf numFmtId="2" fontId="14" fillId="0" borderId="15" xfId="0" applyNumberFormat="1" applyFont="1" applyBorder="1" applyAlignment="1">
      <alignment wrapText="1"/>
    </xf>
    <xf numFmtId="2" fontId="14" fillId="0" borderId="16" xfId="0" quotePrefix="1" applyNumberFormat="1" applyFont="1" applyBorder="1" applyAlignment="1">
      <alignment horizontal="center" wrapText="1"/>
    </xf>
    <xf numFmtId="2" fontId="14" fillId="0" borderId="17" xfId="0" quotePrefix="1" applyNumberFormat="1" applyFont="1" applyBorder="1" applyAlignment="1">
      <alignment horizont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2" fontId="14" fillId="0" borderId="18" xfId="0" applyNumberFormat="1" applyFont="1" applyBorder="1" applyAlignment="1">
      <alignment wrapText="1"/>
    </xf>
    <xf numFmtId="2" fontId="14" fillId="0" borderId="19" xfId="0" quotePrefix="1" applyNumberFormat="1" applyFont="1" applyBorder="1" applyAlignment="1">
      <alignment horizontal="center" wrapText="1"/>
    </xf>
    <xf numFmtId="2" fontId="14" fillId="0" borderId="19" xfId="0" applyNumberFormat="1" applyFont="1" applyBorder="1" applyAlignment="1">
      <alignment horizontal="center" wrapText="1"/>
    </xf>
    <xf numFmtId="0" fontId="15" fillId="0" borderId="14" xfId="0" applyFont="1" applyBorder="1" applyAlignment="1">
      <alignment horizontal="left" wrapText="1"/>
    </xf>
    <xf numFmtId="0" fontId="14" fillId="0" borderId="16" xfId="0" applyFont="1" applyBorder="1" applyAlignment="1">
      <alignment horizontal="center" wrapText="1"/>
    </xf>
    <xf numFmtId="2" fontId="16" fillId="0" borderId="2" xfId="0" applyNumberFormat="1" applyFont="1" applyBorder="1" applyAlignment="1">
      <alignment horizontal="center" wrapText="1"/>
    </xf>
    <xf numFmtId="2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20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1" fillId="0" borderId="5" xfId="0" applyFont="1" applyBorder="1" applyAlignment="1">
      <alignment wrapText="1"/>
    </xf>
    <xf numFmtId="0" fontId="21" fillId="0" borderId="4" xfId="0" applyFont="1" applyBorder="1" applyAlignment="1">
      <alignment wrapText="1"/>
    </xf>
    <xf numFmtId="0" fontId="21" fillId="7" borderId="4" xfId="0" applyFont="1" applyFill="1" applyBorder="1" applyAlignment="1">
      <alignment wrapText="1"/>
    </xf>
    <xf numFmtId="0" fontId="21" fillId="0" borderId="24" xfId="0" applyFont="1" applyBorder="1" applyAlignment="1">
      <alignment wrapText="1"/>
    </xf>
    <xf numFmtId="0" fontId="21" fillId="0" borderId="25" xfId="0" applyFont="1" applyBorder="1" applyAlignment="1">
      <alignment wrapText="1"/>
    </xf>
    <xf numFmtId="0" fontId="21" fillId="8" borderId="25" xfId="0" applyFont="1" applyFill="1" applyBorder="1" applyAlignment="1">
      <alignment wrapText="1"/>
    </xf>
    <xf numFmtId="0" fontId="21" fillId="9" borderId="25" xfId="0" applyFont="1" applyFill="1" applyBorder="1" applyAlignment="1">
      <alignment wrapText="1"/>
    </xf>
    <xf numFmtId="0" fontId="22" fillId="0" borderId="25" xfId="0" applyFont="1" applyBorder="1" applyAlignment="1">
      <alignment wrapText="1"/>
    </xf>
    <xf numFmtId="0" fontId="21" fillId="7" borderId="25" xfId="0" applyFont="1" applyFill="1" applyBorder="1" applyAlignment="1">
      <alignment wrapText="1"/>
    </xf>
    <xf numFmtId="0" fontId="18" fillId="0" borderId="25" xfId="0" applyFont="1" applyBorder="1"/>
    <xf numFmtId="2" fontId="7" fillId="0" borderId="2" xfId="0" applyNumberFormat="1" applyFont="1" applyBorder="1" applyAlignment="1">
      <alignment horizontal="center" wrapText="1"/>
    </xf>
    <xf numFmtId="164" fontId="7" fillId="0" borderId="2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wrapText="1"/>
    </xf>
    <xf numFmtId="2" fontId="14" fillId="10" borderId="2" xfId="0" applyNumberFormat="1" applyFont="1" applyFill="1" applyBorder="1" applyAlignment="1">
      <alignment horizontal="center" wrapText="1"/>
    </xf>
    <xf numFmtId="0" fontId="12" fillId="5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20" fillId="6" borderId="22" xfId="0" applyFont="1" applyFill="1" applyBorder="1" applyAlignment="1">
      <alignment wrapText="1"/>
    </xf>
    <xf numFmtId="0" fontId="20" fillId="6" borderId="21" xfId="0" applyFont="1" applyFill="1" applyBorder="1" applyAlignment="1">
      <alignment wrapText="1"/>
    </xf>
  </cellXfs>
  <cellStyles count="1">
    <cellStyle name="Normal" xfId="0" builtinId="0"/>
  </cellStyles>
  <dxfs count="34"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NVLHx BL KPI power measured vs projected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graph!$A$16</c:f>
              <c:strCache>
                <c:ptCount val="1"/>
                <c:pt idx="0">
                  <c:v>P_MCP_TOTAL-measured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graph!$B$3:$J$3</c:f>
              <c:strCache>
                <c:ptCount val="9"/>
                <c:pt idx="0">
                  <c:v>CMS</c:v>
                </c:pt>
                <c:pt idx="1">
                  <c:v>IDON</c:v>
                </c:pt>
                <c:pt idx="2">
                  <c:v>Busy Idle</c:v>
                </c:pt>
                <c:pt idx="3">
                  <c:v>MM30</c:v>
                </c:pt>
                <c:pt idx="4">
                  <c:v>Catapult Brow</c:v>
                </c:pt>
                <c:pt idx="5">
                  <c:v>Youtube 4K</c:v>
                </c:pt>
                <c:pt idx="6">
                  <c:v>Netflix </c:v>
                </c:pt>
                <c:pt idx="7">
                  <c:v>Teams3x3</c:v>
                </c:pt>
                <c:pt idx="8">
                  <c:v>Teams3x3 MEP</c:v>
                </c:pt>
              </c:strCache>
            </c:strRef>
          </c:cat>
          <c:val>
            <c:numRef>
              <c:f>graph!$B$16:$J$16</c:f>
              <c:numCache>
                <c:formatCode>0.00</c:formatCode>
                <c:ptCount val="9"/>
                <c:pt idx="0">
                  <c:v>114.943</c:v>
                </c:pt>
                <c:pt idx="1">
                  <c:v>229.04300000000001</c:v>
                </c:pt>
                <c:pt idx="2">
                  <c:v>616.79200000000003</c:v>
                </c:pt>
                <c:pt idx="3">
                  <c:v>3129</c:v>
                </c:pt>
                <c:pt idx="4">
                  <c:v>1719.9869999999999</c:v>
                </c:pt>
                <c:pt idx="5">
                  <c:v>1947.0890000000002</c:v>
                </c:pt>
                <c:pt idx="6">
                  <c:v>3160.5509999999999</c:v>
                </c:pt>
                <c:pt idx="7">
                  <c:v>3052.9079999999999</c:v>
                </c:pt>
                <c:pt idx="8">
                  <c:v>3432.4949999999999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6-4EB9-950A-E00369AD5140}"/>
            </c:ext>
          </c:extLst>
        </c:ser>
        <c:ser>
          <c:idx val="1"/>
          <c:order val="1"/>
          <c:tx>
            <c:strRef>
              <c:f>{"P_MCP_TOTAL-projected"}</c:f>
              <c:strCache>
                <c:ptCount val="1"/>
                <c:pt idx="0">
                  <c:v>P_MCP_TOTAL-projected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graph!$B$3:$J$3</c:f>
              <c:strCache>
                <c:ptCount val="9"/>
                <c:pt idx="0">
                  <c:v>CMS</c:v>
                </c:pt>
                <c:pt idx="1">
                  <c:v>IDON</c:v>
                </c:pt>
                <c:pt idx="2">
                  <c:v>Busy Idle</c:v>
                </c:pt>
                <c:pt idx="3">
                  <c:v>MM30</c:v>
                </c:pt>
                <c:pt idx="4">
                  <c:v>Catapult Brow</c:v>
                </c:pt>
                <c:pt idx="5">
                  <c:v>Youtube 4K</c:v>
                </c:pt>
                <c:pt idx="6">
                  <c:v>Netflix </c:v>
                </c:pt>
                <c:pt idx="7">
                  <c:v>Teams3x3</c:v>
                </c:pt>
                <c:pt idx="8">
                  <c:v>Teams3x3 MEP</c:v>
                </c:pt>
              </c:strCache>
            </c:strRef>
          </c:cat>
          <c:val>
            <c:numRef>
              <c:f>graph!$B$32:$J$32</c:f>
              <c:numCache>
                <c:formatCode>0.00</c:formatCode>
                <c:ptCount val="9"/>
                <c:pt idx="0">
                  <c:v>53</c:v>
                </c:pt>
                <c:pt idx="1">
                  <c:v>165</c:v>
                </c:pt>
                <c:pt idx="2">
                  <c:v>359.53</c:v>
                </c:pt>
                <c:pt idx="3">
                  <c:v>1744</c:v>
                </c:pt>
                <c:pt idx="4">
                  <c:v>1217</c:v>
                </c:pt>
                <c:pt idx="5">
                  <c:v>1406</c:v>
                </c:pt>
                <c:pt idx="6">
                  <c:v>829</c:v>
                </c:pt>
                <c:pt idx="7">
                  <c:v>2173</c:v>
                </c:pt>
                <c:pt idx="8">
                  <c:v>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56-4EB9-950A-E00369AD51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5861256"/>
        <c:axId val="775863304"/>
      </c:barChart>
      <c:catAx>
        <c:axId val="775861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63304"/>
        <c:crosses val="autoZero"/>
        <c:auto val="1"/>
        <c:lblAlgn val="ctr"/>
        <c:lblOffset val="100"/>
        <c:noMultiLvlLbl val="0"/>
      </c:catAx>
      <c:valAx>
        <c:axId val="77586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6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9</xdr:col>
      <xdr:colOff>581025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2D107-7FEC-B7D7-B787-92ABE38C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76650"/>
          <a:ext cx="7972425" cy="3209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504825</xdr:colOff>
      <xdr:row>1</xdr:row>
      <xdr:rowOff>66675</xdr:rowOff>
    </xdr:from>
    <xdr:to>
      <xdr:col>38</xdr:col>
      <xdr:colOff>142875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D6D8EE-BAF6-AD8D-7C0C-75E814AC2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L9" sqref="L9"/>
    </sheetView>
  </sheetViews>
  <sheetFormatPr defaultColWidth="9.140625" defaultRowHeight="15"/>
  <cols>
    <col min="1" max="1" width="30.5703125" customWidth="1"/>
    <col min="2" max="2" width="13.28515625" customWidth="1"/>
    <col min="3" max="3" width="11.140625" customWidth="1"/>
    <col min="4" max="4" width="10.140625" customWidth="1"/>
    <col min="5" max="5" width="10.5703125" hidden="1" customWidth="1"/>
    <col min="6" max="6" width="10.5703125" customWidth="1"/>
    <col min="7" max="7" width="11.42578125" customWidth="1"/>
    <col min="8" max="8" width="12.28515625" customWidth="1"/>
    <col min="9" max="9" width="11.42578125" customWidth="1"/>
    <col min="10" max="10" width="14.42578125" customWidth="1"/>
    <col min="11" max="11" width="13.85546875" hidden="1" customWidth="1"/>
    <col min="12" max="12" width="37.5703125" customWidth="1"/>
  </cols>
  <sheetData>
    <row r="1" spans="1:12" ht="35.25">
      <c r="A1" s="1" t="s">
        <v>0</v>
      </c>
      <c r="B1" s="55" t="s">
        <v>1</v>
      </c>
      <c r="C1" s="56" t="s">
        <v>2</v>
      </c>
      <c r="D1" s="57" t="s">
        <v>3</v>
      </c>
      <c r="E1" s="58" t="s">
        <v>4</v>
      </c>
      <c r="F1" s="58" t="s">
        <v>5</v>
      </c>
      <c r="G1" s="55" t="s">
        <v>6</v>
      </c>
      <c r="H1" s="55" t="s">
        <v>7</v>
      </c>
      <c r="I1" s="55" t="s">
        <v>8</v>
      </c>
      <c r="J1" s="59" t="s">
        <v>9</v>
      </c>
      <c r="K1" s="59" t="s">
        <v>10</v>
      </c>
    </row>
    <row r="2" spans="1:12">
      <c r="A2" s="60" t="s">
        <v>11</v>
      </c>
      <c r="B2" s="61" t="s">
        <v>12</v>
      </c>
      <c r="C2" s="61">
        <v>165</v>
      </c>
      <c r="D2" s="53">
        <f>C2/109</f>
        <v>1.5137614678899083</v>
      </c>
      <c r="E2" s="4">
        <v>310.375</v>
      </c>
      <c r="F2" s="54">
        <v>229.04300000000001</v>
      </c>
      <c r="G2" s="53">
        <f>F2/C2</f>
        <v>1.388139393939394</v>
      </c>
      <c r="H2" s="3" t="s">
        <v>13</v>
      </c>
      <c r="I2" s="3" t="s">
        <v>13</v>
      </c>
      <c r="J2" s="3" t="s">
        <v>14</v>
      </c>
      <c r="K2" s="3"/>
    </row>
    <row r="3" spans="1:12">
      <c r="A3" s="60" t="s">
        <v>15</v>
      </c>
      <c r="B3" s="61" t="s">
        <v>16</v>
      </c>
      <c r="C3" s="62" t="s">
        <v>17</v>
      </c>
      <c r="D3" s="53">
        <f>359/243</f>
        <v>1.477366255144033</v>
      </c>
      <c r="E3" s="4"/>
      <c r="F3" s="54">
        <v>616.79200000000003</v>
      </c>
      <c r="G3" s="53">
        <f>F3/359</f>
        <v>1.7180835654596101</v>
      </c>
      <c r="H3" s="3" t="s">
        <v>13</v>
      </c>
      <c r="I3" s="3" t="s">
        <v>13</v>
      </c>
      <c r="J3" s="3" t="s">
        <v>18</v>
      </c>
      <c r="K3" s="3"/>
      <c r="L3" t="s">
        <v>19</v>
      </c>
    </row>
    <row r="4" spans="1:12">
      <c r="A4" s="60" t="s">
        <v>20</v>
      </c>
      <c r="B4" s="61">
        <v>609</v>
      </c>
      <c r="C4" s="61">
        <v>829</v>
      </c>
      <c r="D4" s="53">
        <f>C4/B4</f>
        <v>1.361247947454844</v>
      </c>
      <c r="E4" s="4">
        <v>2726.05</v>
      </c>
      <c r="F4" s="54">
        <v>1778.845</v>
      </c>
      <c r="G4" s="53">
        <f>F4/C4</f>
        <v>2.1457720144752717</v>
      </c>
      <c r="H4" s="3" t="s">
        <v>13</v>
      </c>
      <c r="I4" s="3" t="s">
        <v>13</v>
      </c>
      <c r="J4" s="3" t="s">
        <v>21</v>
      </c>
      <c r="K4" s="3" t="s">
        <v>22</v>
      </c>
      <c r="L4" t="s">
        <v>23</v>
      </c>
    </row>
    <row r="5" spans="1:12">
      <c r="A5" s="60" t="s">
        <v>24</v>
      </c>
      <c r="B5" s="61">
        <v>838</v>
      </c>
      <c r="C5" s="61">
        <v>1406</v>
      </c>
      <c r="D5" s="53">
        <f t="shared" ref="D5:D10" si="0">C5/B5</f>
        <v>1.6778042959427208</v>
      </c>
      <c r="E5" s="4">
        <v>1607.9920000000002</v>
      </c>
      <c r="F5" s="54">
        <v>1919.992</v>
      </c>
      <c r="G5" s="53">
        <f t="shared" ref="G5:G10" si="1">F5/C5</f>
        <v>1.365570412517781</v>
      </c>
      <c r="H5" s="3" t="s">
        <v>13</v>
      </c>
      <c r="I5" s="3" t="s">
        <v>13</v>
      </c>
      <c r="J5" s="3" t="s">
        <v>25</v>
      </c>
      <c r="K5" s="3"/>
    </row>
    <row r="6" spans="1:12">
      <c r="A6" s="60" t="s">
        <v>26</v>
      </c>
      <c r="B6" s="61" t="s">
        <v>27</v>
      </c>
      <c r="C6" s="61">
        <v>1217</v>
      </c>
      <c r="D6" s="53">
        <f>C6/1017</f>
        <v>1.1966568338249755</v>
      </c>
      <c r="E6" s="4">
        <v>1719.972</v>
      </c>
      <c r="F6" s="54">
        <v>1719.9869999999999</v>
      </c>
      <c r="G6" s="53">
        <f t="shared" si="1"/>
        <v>1.4133007395234181</v>
      </c>
      <c r="H6" s="3" t="s">
        <v>13</v>
      </c>
      <c r="I6" s="3" t="s">
        <v>13</v>
      </c>
      <c r="J6" s="3" t="s">
        <v>28</v>
      </c>
      <c r="K6" s="3"/>
    </row>
    <row r="7" spans="1:12">
      <c r="A7" s="60" t="s">
        <v>29</v>
      </c>
      <c r="B7" s="61">
        <v>1736</v>
      </c>
      <c r="C7" s="61">
        <v>2173</v>
      </c>
      <c r="D7" s="53">
        <f t="shared" si="0"/>
        <v>1.2517281105990783</v>
      </c>
      <c r="E7" s="4">
        <v>2712.8</v>
      </c>
      <c r="F7" s="54">
        <v>3052.9079999999999</v>
      </c>
      <c r="G7" s="53">
        <f t="shared" si="1"/>
        <v>1.4049277496548549</v>
      </c>
      <c r="H7" s="3" t="s">
        <v>13</v>
      </c>
      <c r="I7" s="3" t="s">
        <v>13</v>
      </c>
      <c r="J7" s="3" t="s">
        <v>30</v>
      </c>
      <c r="K7" s="3"/>
    </row>
    <row r="8" spans="1:12">
      <c r="A8" s="60" t="s">
        <v>31</v>
      </c>
      <c r="B8" s="61" t="s">
        <v>32</v>
      </c>
      <c r="C8" s="61">
        <v>2414</v>
      </c>
      <c r="D8" s="53">
        <f>C8/2433</f>
        <v>0.99219071105630907</v>
      </c>
      <c r="E8" s="4"/>
      <c r="F8" s="54">
        <v>3432.4949999999999</v>
      </c>
      <c r="G8" s="53">
        <f t="shared" si="1"/>
        <v>1.4219117647058823</v>
      </c>
      <c r="H8" s="3" t="s">
        <v>13</v>
      </c>
      <c r="I8" s="3" t="s">
        <v>13</v>
      </c>
      <c r="J8" s="3" t="s">
        <v>18</v>
      </c>
      <c r="K8" s="3"/>
    </row>
    <row r="9" spans="1:12">
      <c r="A9" s="60" t="s">
        <v>33</v>
      </c>
      <c r="B9" s="61">
        <v>59</v>
      </c>
      <c r="C9" s="61">
        <v>53</v>
      </c>
      <c r="D9" s="53">
        <f t="shared" si="0"/>
        <v>0.89830508474576276</v>
      </c>
      <c r="E9" s="4">
        <v>108.337</v>
      </c>
      <c r="F9" s="54">
        <v>114.943</v>
      </c>
      <c r="G9" s="53">
        <f t="shared" si="1"/>
        <v>2.1687358490566035</v>
      </c>
      <c r="H9" s="3" t="s">
        <v>13</v>
      </c>
      <c r="I9" s="3" t="s">
        <v>13</v>
      </c>
      <c r="J9" s="3" t="s">
        <v>34</v>
      </c>
      <c r="K9" s="3"/>
      <c r="L9" t="s">
        <v>35</v>
      </c>
    </row>
    <row r="10" spans="1:12">
      <c r="A10" s="60" t="s">
        <v>36</v>
      </c>
      <c r="B10" s="61" t="s">
        <v>37</v>
      </c>
      <c r="C10" s="61">
        <v>1744</v>
      </c>
      <c r="D10" s="53">
        <f>C10/1625</f>
        <v>1.0732307692307692</v>
      </c>
      <c r="E10" s="4"/>
      <c r="F10" s="54">
        <v>3129</v>
      </c>
      <c r="G10" s="53">
        <f t="shared" si="1"/>
        <v>1.7941513761467891</v>
      </c>
      <c r="H10" s="3" t="s">
        <v>13</v>
      </c>
      <c r="I10" s="3" t="s">
        <v>13</v>
      </c>
      <c r="J10" s="3" t="s">
        <v>38</v>
      </c>
      <c r="K10" s="60" t="s">
        <v>39</v>
      </c>
    </row>
    <row r="11" spans="1:12">
      <c r="C11" s="2"/>
      <c r="D11" s="2"/>
      <c r="E11" s="2"/>
      <c r="F11" s="2"/>
      <c r="G11" s="2"/>
    </row>
    <row r="12" spans="1:12">
      <c r="C12" s="2"/>
      <c r="D12" s="2"/>
    </row>
    <row r="13" spans="1:12">
      <c r="C13" s="2"/>
      <c r="D13" s="2"/>
    </row>
    <row r="18" spans="1:1">
      <c r="A18" t="s">
        <v>40</v>
      </c>
    </row>
  </sheetData>
  <conditionalFormatting sqref="G2:G10">
    <cfRule type="cellIs" dxfId="33" priority="4" operator="between">
      <formula>1</formula>
      <formula>1.05</formula>
    </cfRule>
    <cfRule type="cellIs" dxfId="32" priority="5" operator="lessThan">
      <formula>1</formula>
    </cfRule>
    <cfRule type="cellIs" dxfId="31" priority="6" operator="greaterThan">
      <formula>1.05</formula>
    </cfRule>
  </conditionalFormatting>
  <conditionalFormatting sqref="D2:D10">
    <cfRule type="cellIs" dxfId="30" priority="3" operator="lessThan">
      <formula>1</formula>
    </cfRule>
  </conditionalFormatting>
  <conditionalFormatting sqref="D2:D10">
    <cfRule type="cellIs" dxfId="29" priority="2" operator="greaterThan">
      <formula>1.05</formula>
    </cfRule>
  </conditionalFormatting>
  <conditionalFormatting sqref="D2:D10">
    <cfRule type="cellIs" dxfId="28" priority="1" operator="between">
      <formula>1</formula>
      <formula>1.05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F556-3A4B-4AE0-A2EC-C426EB4209CF}">
  <dimension ref="A1:AD29"/>
  <sheetViews>
    <sheetView tabSelected="1" workbookViewId="0">
      <pane xSplit="1" topLeftCell="B1" activePane="topRight" state="frozen"/>
      <selection pane="topRight" activeCell="A3" sqref="A3:XFD14"/>
    </sheetView>
  </sheetViews>
  <sheetFormatPr defaultRowHeight="14.45"/>
  <cols>
    <col min="1" max="1" width="26.7109375" customWidth="1"/>
    <col min="4" max="7" width="10.42578125" customWidth="1"/>
    <col min="10" max="10" width="10.42578125" customWidth="1"/>
    <col min="13" max="13" width="10.140625" customWidth="1"/>
    <col min="16" max="16" width="10.140625" customWidth="1"/>
    <col min="19" max="19" width="10.140625" customWidth="1"/>
    <col min="22" max="22" width="10.140625" customWidth="1"/>
    <col min="25" max="25" width="10.140625" customWidth="1"/>
    <col min="28" max="28" width="10.140625" customWidth="1"/>
  </cols>
  <sheetData>
    <row r="1" spans="1:30">
      <c r="A1" t="s">
        <v>41</v>
      </c>
    </row>
    <row r="2" spans="1:30" ht="16.5" customHeight="1">
      <c r="A2" s="19" t="s">
        <v>42</v>
      </c>
      <c r="B2" s="65" t="s">
        <v>43</v>
      </c>
      <c r="C2" s="66"/>
      <c r="D2" s="20" t="s">
        <v>44</v>
      </c>
      <c r="E2" s="65" t="s">
        <v>45</v>
      </c>
      <c r="F2" s="66"/>
      <c r="G2" s="20"/>
      <c r="H2" s="65" t="s">
        <v>46</v>
      </c>
      <c r="I2" s="66"/>
      <c r="J2" s="20" t="s">
        <v>44</v>
      </c>
      <c r="K2" s="66" t="s">
        <v>47</v>
      </c>
      <c r="L2" s="66"/>
      <c r="M2" s="20" t="s">
        <v>44</v>
      </c>
      <c r="N2" s="65" t="s">
        <v>48</v>
      </c>
      <c r="O2" s="66"/>
      <c r="P2" s="21" t="s">
        <v>44</v>
      </c>
      <c r="Q2" s="65" t="s">
        <v>49</v>
      </c>
      <c r="R2" s="66"/>
      <c r="S2" s="21" t="s">
        <v>44</v>
      </c>
      <c r="T2" s="65" t="s">
        <v>50</v>
      </c>
      <c r="U2" s="66"/>
      <c r="V2" s="21" t="s">
        <v>44</v>
      </c>
      <c r="W2" s="65" t="s">
        <v>51</v>
      </c>
      <c r="X2" s="66"/>
      <c r="Y2" s="21" t="s">
        <v>44</v>
      </c>
      <c r="Z2" s="65" t="s">
        <v>52</v>
      </c>
      <c r="AA2" s="66"/>
      <c r="AB2" s="21" t="s">
        <v>44</v>
      </c>
    </row>
    <row r="3" spans="1:30">
      <c r="A3" s="27" t="s">
        <v>13</v>
      </c>
      <c r="B3" s="28" t="s">
        <v>53</v>
      </c>
      <c r="C3" s="28" t="s">
        <v>54</v>
      </c>
      <c r="D3" s="29" t="s">
        <v>55</v>
      </c>
      <c r="E3" s="28" t="s">
        <v>53</v>
      </c>
      <c r="F3" s="28" t="s">
        <v>54</v>
      </c>
      <c r="G3" s="29" t="s">
        <v>55</v>
      </c>
      <c r="H3" s="28" t="s">
        <v>53</v>
      </c>
      <c r="I3" s="28" t="s">
        <v>54</v>
      </c>
      <c r="J3" s="29" t="s">
        <v>55</v>
      </c>
      <c r="K3" s="28" t="s">
        <v>53</v>
      </c>
      <c r="L3" s="28" t="s">
        <v>54</v>
      </c>
      <c r="M3" s="28" t="s">
        <v>55</v>
      </c>
      <c r="N3" s="28" t="s">
        <v>53</v>
      </c>
      <c r="O3" s="28" t="s">
        <v>54</v>
      </c>
      <c r="P3" s="30" t="s">
        <v>55</v>
      </c>
      <c r="Q3" s="28" t="s">
        <v>53</v>
      </c>
      <c r="R3" s="28" t="s">
        <v>54</v>
      </c>
      <c r="S3" s="30" t="s">
        <v>55</v>
      </c>
      <c r="T3" s="28" t="s">
        <v>53</v>
      </c>
      <c r="U3" s="28" t="s">
        <v>54</v>
      </c>
      <c r="V3" s="30" t="s">
        <v>55</v>
      </c>
      <c r="W3" s="28" t="s">
        <v>53</v>
      </c>
      <c r="X3" s="28" t="s">
        <v>54</v>
      </c>
      <c r="Y3" s="30" t="s">
        <v>55</v>
      </c>
      <c r="Z3" s="28" t="s">
        <v>53</v>
      </c>
      <c r="AA3" s="28" t="s">
        <v>54</v>
      </c>
      <c r="AB3" s="30" t="s">
        <v>55</v>
      </c>
    </row>
    <row r="4" spans="1:30" ht="16.5">
      <c r="A4" s="31" t="s">
        <v>56</v>
      </c>
      <c r="B4" s="32">
        <v>4.9800000000000004</v>
      </c>
      <c r="C4" s="33">
        <v>9.01</v>
      </c>
      <c r="D4" s="32">
        <f>C4/B4</f>
        <v>1.8092369477911645</v>
      </c>
      <c r="E4" s="32">
        <v>0</v>
      </c>
      <c r="F4" s="33">
        <v>0</v>
      </c>
      <c r="G4" s="32">
        <v>1</v>
      </c>
      <c r="H4" s="32">
        <v>74.813999999999993</v>
      </c>
      <c r="I4" s="33">
        <v>379.41200000000003</v>
      </c>
      <c r="J4" s="32">
        <f>I4/H4</f>
        <v>5.0714037479616128</v>
      </c>
      <c r="K4" s="32">
        <v>155</v>
      </c>
      <c r="L4" s="33">
        <v>217.22800000000001</v>
      </c>
      <c r="M4" s="32">
        <f>L4/K4</f>
        <v>1.4014709677419355</v>
      </c>
      <c r="N4" s="32">
        <v>223.63319999999999</v>
      </c>
      <c r="O4" s="33">
        <v>186.72300000000001</v>
      </c>
      <c r="P4" s="14">
        <f>O4/N4</f>
        <v>0.83495205541932072</v>
      </c>
      <c r="Q4" s="32">
        <v>17.54</v>
      </c>
      <c r="R4" s="33">
        <v>51.259</v>
      </c>
      <c r="S4" s="14">
        <f t="shared" ref="S4:S8" si="0">R4/Q4</f>
        <v>2.9224059293044471</v>
      </c>
      <c r="T4" s="32">
        <v>15.86</v>
      </c>
      <c r="U4" s="33">
        <v>379.79</v>
      </c>
      <c r="V4" s="14">
        <f t="shared" ref="V4:V16" si="1">U4/T4</f>
        <v>23.946406052963432</v>
      </c>
      <c r="W4" s="32">
        <v>480.32</v>
      </c>
      <c r="X4" s="33">
        <v>493.96499999999997</v>
      </c>
      <c r="Y4" s="14">
        <f t="shared" ref="Y4:Y8" si="2">X4/W4</f>
        <v>1.0284081445702864</v>
      </c>
      <c r="Z4" s="32">
        <v>333.8</v>
      </c>
      <c r="AA4" s="33">
        <v>351</v>
      </c>
      <c r="AB4" s="14">
        <f t="shared" ref="AB4:AB8" si="3">AA4/Z4</f>
        <v>1.0515278609946075</v>
      </c>
    </row>
    <row r="5" spans="1:30" ht="16.5">
      <c r="A5" s="22" t="s">
        <v>57</v>
      </c>
      <c r="B5" s="11">
        <v>14.51</v>
      </c>
      <c r="C5" s="11">
        <v>40.480000000000004</v>
      </c>
      <c r="D5" s="18">
        <f t="shared" ref="D5:D16" si="4">C5/B5</f>
        <v>2.7898001378359756</v>
      </c>
      <c r="E5" s="11">
        <v>1.76</v>
      </c>
      <c r="F5" s="11">
        <v>20.931000000000001</v>
      </c>
      <c r="G5" s="18">
        <f t="shared" ref="G5:G16" si="5">F5/E5</f>
        <v>11.892613636363636</v>
      </c>
      <c r="H5" s="11">
        <v>112.0771</v>
      </c>
      <c r="I5" s="11">
        <v>183.21499999999997</v>
      </c>
      <c r="J5" s="18">
        <f t="shared" ref="J5:J16" si="6">I5/H5</f>
        <v>1.6347228827298348</v>
      </c>
      <c r="K5" s="11">
        <v>112</v>
      </c>
      <c r="L5" s="11">
        <v>144.61099999999999</v>
      </c>
      <c r="M5" s="18">
        <f t="shared" ref="M5:M16" si="7">L5/K5</f>
        <v>1.2911696428571429</v>
      </c>
      <c r="N5" s="11">
        <v>123.76949999999999</v>
      </c>
      <c r="O5" s="11">
        <v>176.13899999999998</v>
      </c>
      <c r="P5" s="23">
        <f t="shared" ref="P5:P16" si="8">O5/N5</f>
        <v>1.4231212051434319</v>
      </c>
      <c r="Q5" s="11">
        <v>35.659999999999997</v>
      </c>
      <c r="R5" s="11">
        <v>106.34699999999999</v>
      </c>
      <c r="S5" s="23">
        <f t="shared" si="0"/>
        <v>2.9822490185081323</v>
      </c>
      <c r="T5" s="11">
        <v>186.64</v>
      </c>
      <c r="U5" s="11">
        <v>305.387</v>
      </c>
      <c r="V5" s="14">
        <f t="shared" si="1"/>
        <v>1.6362355336476642</v>
      </c>
      <c r="W5" s="11">
        <v>193.15</v>
      </c>
      <c r="X5" s="11">
        <v>220.34400000000002</v>
      </c>
      <c r="Y5" s="23">
        <f t="shared" si="2"/>
        <v>1.1407921304685478</v>
      </c>
      <c r="Z5" s="11">
        <v>122.14</v>
      </c>
      <c r="AA5" s="11">
        <v>196</v>
      </c>
      <c r="AB5" s="23">
        <f t="shared" si="3"/>
        <v>1.6047158997871296</v>
      </c>
    </row>
    <row r="6" spans="1:30" ht="16.5">
      <c r="A6" s="22" t="s">
        <v>58</v>
      </c>
      <c r="B6" s="11">
        <v>73.17</v>
      </c>
      <c r="C6" s="11">
        <v>114.78399999999999</v>
      </c>
      <c r="D6" s="18">
        <f t="shared" si="4"/>
        <v>1.5687303539702062</v>
      </c>
      <c r="E6" s="11">
        <v>45.92</v>
      </c>
      <c r="F6" s="36">
        <v>73.594000000000008</v>
      </c>
      <c r="G6" s="18">
        <f t="shared" si="5"/>
        <v>1.6026567944250871</v>
      </c>
      <c r="H6" s="11">
        <v>297.20999999999998</v>
      </c>
      <c r="I6" s="11">
        <v>686.95300000000009</v>
      </c>
      <c r="J6" s="18">
        <f t="shared" si="6"/>
        <v>2.3113387840247639</v>
      </c>
      <c r="K6" s="11">
        <v>363</v>
      </c>
      <c r="L6" s="11">
        <v>428.709</v>
      </c>
      <c r="M6" s="18">
        <f t="shared" si="7"/>
        <v>1.1810165289256198</v>
      </c>
      <c r="N6" s="11">
        <v>362.97</v>
      </c>
      <c r="O6" s="11">
        <v>420.69200000000001</v>
      </c>
      <c r="P6" s="23">
        <f t="shared" si="8"/>
        <v>1.159026916825082</v>
      </c>
      <c r="Q6" s="11">
        <v>149.63999999999999</v>
      </c>
      <c r="R6" s="11">
        <v>230.27600000000001</v>
      </c>
      <c r="S6" s="23">
        <f t="shared" si="0"/>
        <v>1.5388666132050257</v>
      </c>
      <c r="T6" s="11">
        <v>537.20000000000005</v>
      </c>
      <c r="U6" s="11">
        <v>618.70400000000006</v>
      </c>
      <c r="V6" s="14">
        <f t="shared" si="1"/>
        <v>1.1517200297840655</v>
      </c>
      <c r="W6" s="11">
        <v>536.51</v>
      </c>
      <c r="X6" s="11">
        <v>729.923</v>
      </c>
      <c r="Y6" s="23">
        <f t="shared" si="2"/>
        <v>1.3605021341633894</v>
      </c>
      <c r="Z6" s="11">
        <v>348.46</v>
      </c>
      <c r="AA6" s="11">
        <v>508</v>
      </c>
      <c r="AB6" s="23">
        <f t="shared" si="3"/>
        <v>1.457843080984905</v>
      </c>
    </row>
    <row r="7" spans="1:30" ht="16.5">
      <c r="A7" s="22" t="s">
        <v>59</v>
      </c>
      <c r="B7" s="11">
        <v>4.2300000000000004</v>
      </c>
      <c r="C7" s="11">
        <v>0.82</v>
      </c>
      <c r="D7" s="18">
        <f t="shared" si="4"/>
        <v>0.19385342789598106</v>
      </c>
      <c r="E7" s="11">
        <v>4.0999999999999996</v>
      </c>
      <c r="F7" s="11">
        <v>0.51600000000000001</v>
      </c>
      <c r="G7" s="18">
        <f t="shared" si="5"/>
        <v>0.12585365853658537</v>
      </c>
      <c r="H7" s="11">
        <v>5.26</v>
      </c>
      <c r="I7" s="11">
        <v>1.7550000000000001</v>
      </c>
      <c r="J7" s="18">
        <f t="shared" si="6"/>
        <v>0.33365019011406849</v>
      </c>
      <c r="K7" s="11">
        <v>51</v>
      </c>
      <c r="L7" s="11">
        <v>2.72</v>
      </c>
      <c r="M7" s="18">
        <f t="shared" si="7"/>
        <v>5.3333333333333337E-2</v>
      </c>
      <c r="N7" s="11">
        <v>6.69</v>
      </c>
      <c r="O7" s="11">
        <v>1.5070000000000001</v>
      </c>
      <c r="P7" s="23">
        <f t="shared" si="8"/>
        <v>0.22526158445440958</v>
      </c>
      <c r="Q7" s="11">
        <v>4.9400000000000004</v>
      </c>
      <c r="R7" s="11">
        <v>1.087</v>
      </c>
      <c r="S7" s="23">
        <f t="shared" si="0"/>
        <v>0.2200404858299595</v>
      </c>
      <c r="T7" s="11">
        <v>6.76</v>
      </c>
      <c r="U7" s="11">
        <v>14.704000000000001</v>
      </c>
      <c r="V7" s="14">
        <f t="shared" si="1"/>
        <v>2.1751479289940829</v>
      </c>
      <c r="W7" s="11">
        <v>6.15</v>
      </c>
      <c r="X7" s="11">
        <v>1.681</v>
      </c>
      <c r="Y7" s="23">
        <f t="shared" si="2"/>
        <v>0.27333333333333332</v>
      </c>
      <c r="Z7" s="11">
        <v>12.87</v>
      </c>
      <c r="AA7" s="11">
        <v>3</v>
      </c>
      <c r="AB7" s="23">
        <f t="shared" si="3"/>
        <v>0.23310023310023312</v>
      </c>
    </row>
    <row r="8" spans="1:30" ht="16.5">
      <c r="A8" s="22" t="s">
        <v>60</v>
      </c>
      <c r="B8" s="11">
        <v>0.05</v>
      </c>
      <c r="C8" s="11">
        <v>1E-3</v>
      </c>
      <c r="D8" s="18">
        <f t="shared" si="4"/>
        <v>0.02</v>
      </c>
      <c r="E8" s="11">
        <v>0.05</v>
      </c>
      <c r="F8" s="36">
        <v>3.3000000000000002E-2</v>
      </c>
      <c r="G8" s="18">
        <f t="shared" si="5"/>
        <v>0.66</v>
      </c>
      <c r="H8" s="11">
        <v>0.05</v>
      </c>
      <c r="I8" s="11">
        <v>1.7000000000000001E-2</v>
      </c>
      <c r="J8" s="18">
        <f t="shared" si="6"/>
        <v>0.34</v>
      </c>
      <c r="K8" s="11">
        <v>0.05</v>
      </c>
      <c r="L8" s="11">
        <v>-3.0000000000000002E-2</v>
      </c>
      <c r="M8" s="18">
        <f t="shared" si="7"/>
        <v>-0.6</v>
      </c>
      <c r="N8" s="11">
        <v>0.05</v>
      </c>
      <c r="O8" s="11">
        <v>0.04</v>
      </c>
      <c r="P8" s="23">
        <f t="shared" si="8"/>
        <v>0.79999999999999993</v>
      </c>
      <c r="Q8" s="11">
        <v>0.05</v>
      </c>
      <c r="R8" s="11">
        <v>-2E-3</v>
      </c>
      <c r="S8" s="23">
        <f t="shared" si="0"/>
        <v>-0.04</v>
      </c>
      <c r="T8" s="11">
        <v>0.05</v>
      </c>
      <c r="U8" s="11">
        <v>-2.5999999999999999E-2</v>
      </c>
      <c r="V8" s="14">
        <f t="shared" si="1"/>
        <v>-0.51999999999999991</v>
      </c>
      <c r="W8" s="11">
        <v>0.05</v>
      </c>
      <c r="X8" s="11">
        <v>-3.3000000000000002E-2</v>
      </c>
      <c r="Y8" s="23">
        <f t="shared" si="2"/>
        <v>-0.66</v>
      </c>
      <c r="Z8" s="11">
        <v>0.05</v>
      </c>
      <c r="AA8" s="11">
        <v>0</v>
      </c>
      <c r="AB8" s="23">
        <f t="shared" si="3"/>
        <v>0</v>
      </c>
    </row>
    <row r="9" spans="1:30" ht="16.5">
      <c r="A9" s="22" t="s">
        <v>61</v>
      </c>
      <c r="B9" s="11"/>
      <c r="C9" s="11">
        <v>1.5920000000000001</v>
      </c>
      <c r="D9" s="12"/>
      <c r="E9" s="11"/>
      <c r="F9" s="11">
        <v>0.60199999999999998</v>
      </c>
      <c r="G9" s="12"/>
      <c r="H9" s="11"/>
      <c r="I9" s="11">
        <v>6.4809999999999999</v>
      </c>
      <c r="J9" s="12"/>
      <c r="K9" s="11"/>
      <c r="L9" s="11">
        <v>6.14</v>
      </c>
      <c r="M9" s="12"/>
      <c r="N9" s="11"/>
      <c r="O9" s="11">
        <v>5.367</v>
      </c>
      <c r="P9" s="13"/>
      <c r="Q9" s="11"/>
      <c r="R9" s="11">
        <v>3.7210000000000001</v>
      </c>
      <c r="S9" s="13"/>
      <c r="T9" s="11"/>
      <c r="U9" s="11">
        <v>8.1159999999999997</v>
      </c>
      <c r="V9" s="14" t="e">
        <f t="shared" si="1"/>
        <v>#DIV/0!</v>
      </c>
      <c r="W9" s="11"/>
      <c r="X9" s="11">
        <v>7.2309999999999999</v>
      </c>
      <c r="Y9" s="13"/>
      <c r="Z9" s="11"/>
      <c r="AA9" s="11">
        <v>6</v>
      </c>
      <c r="AB9" s="13"/>
    </row>
    <row r="10" spans="1:30" ht="16.5">
      <c r="A10" s="22" t="s">
        <v>62</v>
      </c>
      <c r="B10" s="11"/>
      <c r="C10" s="11">
        <v>21.198999999999998</v>
      </c>
      <c r="D10" s="12"/>
      <c r="E10" s="11"/>
      <c r="F10" s="11">
        <v>18.363999999999997</v>
      </c>
      <c r="G10" s="12"/>
      <c r="H10" s="11"/>
      <c r="I10" s="11">
        <v>104.092</v>
      </c>
      <c r="J10" s="12"/>
      <c r="K10" s="11"/>
      <c r="L10" s="11">
        <v>60.383000000000003</v>
      </c>
      <c r="M10" s="12"/>
      <c r="N10" s="11"/>
      <c r="O10" s="11">
        <v>58.14</v>
      </c>
      <c r="P10" s="13"/>
      <c r="Q10" s="11"/>
      <c r="R10" s="11">
        <v>31.145</v>
      </c>
      <c r="S10" s="13"/>
      <c r="T10" s="11"/>
      <c r="U10" s="11">
        <v>79.141000000000005</v>
      </c>
      <c r="V10" s="14" t="e">
        <f t="shared" si="1"/>
        <v>#DIV/0!</v>
      </c>
      <c r="W10" s="11"/>
      <c r="X10" s="11">
        <v>103.717</v>
      </c>
      <c r="Y10" s="13"/>
      <c r="Z10" s="11"/>
      <c r="AA10" s="11">
        <v>88</v>
      </c>
      <c r="AB10" s="13"/>
    </row>
    <row r="11" spans="1:30" ht="16.5">
      <c r="A11" s="22" t="s">
        <v>63</v>
      </c>
      <c r="B11" s="18">
        <v>3.33</v>
      </c>
      <c r="C11" s="11">
        <v>2.153</v>
      </c>
      <c r="D11" s="18">
        <f t="shared" si="4"/>
        <v>0.64654654654654653</v>
      </c>
      <c r="E11" s="18">
        <v>0</v>
      </c>
      <c r="F11" s="11">
        <v>-0.39500000000000002</v>
      </c>
      <c r="G11" s="18" t="e">
        <f t="shared" si="5"/>
        <v>#DIV/0!</v>
      </c>
      <c r="H11" s="18">
        <v>23.48</v>
      </c>
      <c r="I11" s="11">
        <v>48.150999999999996</v>
      </c>
      <c r="J11" s="18">
        <f t="shared" si="6"/>
        <v>2.0507240204429298</v>
      </c>
      <c r="K11" s="18">
        <v>47</v>
      </c>
      <c r="L11" s="11">
        <v>36.695999999999998</v>
      </c>
      <c r="M11" s="18">
        <f t="shared" si="7"/>
        <v>0.78076595744680843</v>
      </c>
      <c r="N11" s="18">
        <v>50.879899999999999</v>
      </c>
      <c r="O11" s="11">
        <v>23.227</v>
      </c>
      <c r="P11" s="23">
        <f t="shared" si="8"/>
        <v>0.45650640036635293</v>
      </c>
      <c r="Q11" s="18">
        <v>4.7300000000000004</v>
      </c>
      <c r="R11" s="11">
        <v>9.08</v>
      </c>
      <c r="S11" s="23">
        <f t="shared" ref="S11:S16" si="9">R11/Q11</f>
        <v>1.9196617336152217</v>
      </c>
      <c r="T11" s="18">
        <v>60.89</v>
      </c>
      <c r="U11" s="11">
        <v>46.365000000000002</v>
      </c>
      <c r="V11" s="14">
        <f t="shared" si="1"/>
        <v>0.76145508293644282</v>
      </c>
      <c r="W11" s="18">
        <v>53.44</v>
      </c>
      <c r="X11" s="11">
        <v>47.832000000000001</v>
      </c>
      <c r="Y11" s="23">
        <f t="shared" ref="Y11:Y16" si="10">X11/W11</f>
        <v>0.89505988023952099</v>
      </c>
      <c r="Z11" s="18">
        <v>59.62</v>
      </c>
      <c r="AA11" s="11">
        <v>25</v>
      </c>
      <c r="AB11" s="23">
        <f t="shared" ref="AB11:AB16" si="11">AA11/Z11</f>
        <v>0.41932237504193226</v>
      </c>
    </row>
    <row r="12" spans="1:30" ht="16.5">
      <c r="A12" s="22" t="s">
        <v>64</v>
      </c>
      <c r="B12" s="11">
        <v>16.399999999999999</v>
      </c>
      <c r="C12" s="11">
        <v>8.5760000000000005</v>
      </c>
      <c r="D12" s="18">
        <f t="shared" si="4"/>
        <v>0.52292682926829281</v>
      </c>
      <c r="E12" s="11">
        <v>0.87</v>
      </c>
      <c r="F12" s="36">
        <v>1.2979999999999998</v>
      </c>
      <c r="G12" s="18">
        <f t="shared" si="5"/>
        <v>1.4919540229885055</v>
      </c>
      <c r="H12" s="11">
        <v>87.012299999999996</v>
      </c>
      <c r="I12" s="11">
        <v>191.70599999999999</v>
      </c>
      <c r="J12" s="18">
        <f t="shared" si="6"/>
        <v>2.2032057536693088</v>
      </c>
      <c r="K12" s="11">
        <v>217</v>
      </c>
      <c r="L12" s="11">
        <v>144.065</v>
      </c>
      <c r="M12" s="18">
        <f t="shared" si="7"/>
        <v>0.66389400921658981</v>
      </c>
      <c r="N12" s="11">
        <v>169.60429999999999</v>
      </c>
      <c r="O12" s="11">
        <v>99.336999999999989</v>
      </c>
      <c r="P12" s="23">
        <f t="shared" si="8"/>
        <v>0.58569859372669197</v>
      </c>
      <c r="Q12" s="11">
        <v>29.61</v>
      </c>
      <c r="R12" s="11">
        <v>34.467999999999996</v>
      </c>
      <c r="S12" s="23">
        <f t="shared" si="9"/>
        <v>1.1640661938534278</v>
      </c>
      <c r="T12" s="11">
        <v>268.76</v>
      </c>
      <c r="U12" s="11">
        <v>192.69200000000001</v>
      </c>
      <c r="V12" s="14">
        <f t="shared" si="1"/>
        <v>0.7169668105372824</v>
      </c>
      <c r="W12" s="11">
        <v>278.39999999999998</v>
      </c>
      <c r="X12" s="11">
        <v>201.65299999999999</v>
      </c>
      <c r="Y12" s="23">
        <f t="shared" si="10"/>
        <v>0.72432830459770114</v>
      </c>
      <c r="Z12" s="11">
        <v>187.73</v>
      </c>
      <c r="AA12" s="11">
        <v>111</v>
      </c>
      <c r="AB12" s="23">
        <f t="shared" si="11"/>
        <v>0.59127470303094876</v>
      </c>
    </row>
    <row r="13" spans="1:30" ht="16.5">
      <c r="A13" s="22" t="s">
        <v>65</v>
      </c>
      <c r="B13" s="11">
        <v>0</v>
      </c>
      <c r="C13" s="11">
        <v>4.0749999999999993</v>
      </c>
      <c r="D13" s="18" t="e">
        <f t="shared" si="4"/>
        <v>#DIV/0!</v>
      </c>
      <c r="E13" s="11">
        <v>0</v>
      </c>
      <c r="F13" s="11">
        <v>0</v>
      </c>
      <c r="G13" s="18" t="e">
        <f t="shared" si="5"/>
        <v>#DIV/0!</v>
      </c>
      <c r="H13" s="11">
        <v>0</v>
      </c>
      <c r="I13" s="11">
        <v>736.17700000000002</v>
      </c>
      <c r="J13" s="18" t="e">
        <f t="shared" si="6"/>
        <v>#DIV/0!</v>
      </c>
      <c r="K13" s="11">
        <v>3</v>
      </c>
      <c r="L13" s="63">
        <v>120.857</v>
      </c>
      <c r="M13" s="18">
        <f t="shared" si="7"/>
        <v>40.285666666666664</v>
      </c>
      <c r="N13" s="11">
        <v>19.38</v>
      </c>
      <c r="O13" s="11">
        <v>237.93200000000002</v>
      </c>
      <c r="P13" s="23">
        <f t="shared" si="8"/>
        <v>12.277192982456143</v>
      </c>
      <c r="Q13" s="11">
        <v>17.54</v>
      </c>
      <c r="R13" s="11">
        <v>25.524999999999999</v>
      </c>
      <c r="S13" s="23">
        <f t="shared" si="9"/>
        <v>1.4552451539338653</v>
      </c>
      <c r="T13" s="11">
        <v>15.86</v>
      </c>
      <c r="U13" s="11">
        <v>299.57</v>
      </c>
      <c r="V13" s="14">
        <f t="shared" si="1"/>
        <v>18.888398486759144</v>
      </c>
      <c r="W13" s="11">
        <v>6.25</v>
      </c>
      <c r="X13" s="11">
        <v>659.34800000000007</v>
      </c>
      <c r="Y13" s="23">
        <f t="shared" si="10"/>
        <v>105.49568000000001</v>
      </c>
      <c r="Z13" s="11">
        <v>378.85</v>
      </c>
      <c r="AA13" s="11">
        <v>1208</v>
      </c>
      <c r="AB13" s="23">
        <f t="shared" si="11"/>
        <v>3.1885970700805064</v>
      </c>
    </row>
    <row r="14" spans="1:30" ht="16.5">
      <c r="A14" s="22" t="s">
        <v>66</v>
      </c>
      <c r="B14" s="11">
        <v>0</v>
      </c>
      <c r="C14" s="11">
        <v>7.0000000000000001E-3</v>
      </c>
      <c r="D14" s="18" t="e">
        <f t="shared" si="4"/>
        <v>#DIV/0!</v>
      </c>
      <c r="E14" s="11">
        <v>0</v>
      </c>
      <c r="F14" s="11">
        <v>0</v>
      </c>
      <c r="G14" s="18" t="e">
        <f t="shared" si="5"/>
        <v>#DIV/0!</v>
      </c>
      <c r="H14" s="11">
        <v>0</v>
      </c>
      <c r="I14" s="64">
        <v>14.061999999999999</v>
      </c>
      <c r="J14" s="18" t="e">
        <f t="shared" si="6"/>
        <v>#DIV/0!</v>
      </c>
      <c r="K14" s="11">
        <v>0.39</v>
      </c>
      <c r="L14" s="11">
        <v>2.9239999999999999</v>
      </c>
      <c r="M14" s="18">
        <f t="shared" si="7"/>
        <v>7.4974358974358974</v>
      </c>
      <c r="N14" s="11">
        <v>16.973700000000001</v>
      </c>
      <c r="O14" s="64">
        <v>48.550000000000004</v>
      </c>
      <c r="P14" s="23">
        <f t="shared" si="8"/>
        <v>2.8603074167682947</v>
      </c>
      <c r="Q14" s="11">
        <v>0</v>
      </c>
      <c r="R14" s="11">
        <v>7.0000000000000001E-3</v>
      </c>
      <c r="S14" s="23" t="e">
        <f t="shared" si="9"/>
        <v>#DIV/0!</v>
      </c>
      <c r="T14" s="11">
        <v>45.15</v>
      </c>
      <c r="U14" s="11">
        <v>7.4390000000000001</v>
      </c>
      <c r="V14" s="14">
        <f t="shared" si="1"/>
        <v>0.16476190476190478</v>
      </c>
      <c r="W14" s="11">
        <v>46.1</v>
      </c>
      <c r="X14" s="11">
        <v>14.158999999999999</v>
      </c>
      <c r="Y14" s="23">
        <f t="shared" si="10"/>
        <v>0.30713665943600865</v>
      </c>
      <c r="Z14" s="11">
        <v>33.24</v>
      </c>
      <c r="AA14" s="64">
        <v>76</v>
      </c>
      <c r="AB14" s="23">
        <f t="shared" si="11"/>
        <v>2.286401925391095</v>
      </c>
    </row>
    <row r="15" spans="1:30" ht="16.5">
      <c r="A15" s="22" t="s">
        <v>67</v>
      </c>
      <c r="B15" s="11">
        <v>53.86</v>
      </c>
      <c r="C15" s="11">
        <v>26.344999999999999</v>
      </c>
      <c r="D15" s="18">
        <f t="shared" si="4"/>
        <v>0.48913850724099517</v>
      </c>
      <c r="E15" s="11">
        <v>0.21</v>
      </c>
      <c r="F15" s="11">
        <v>0</v>
      </c>
      <c r="G15" s="18">
        <f t="shared" si="5"/>
        <v>0</v>
      </c>
      <c r="H15" s="11">
        <v>385.5883</v>
      </c>
      <c r="I15" s="11">
        <v>808.53</v>
      </c>
      <c r="J15" s="18">
        <f t="shared" si="6"/>
        <v>2.0968737899982961</v>
      </c>
      <c r="K15" s="11">
        <v>458</v>
      </c>
      <c r="L15" s="11">
        <v>782.78599999999994</v>
      </c>
      <c r="M15" s="18">
        <f t="shared" si="7"/>
        <v>1.7091397379912663</v>
      </c>
      <c r="N15" s="11">
        <v>445.89319999999998</v>
      </c>
      <c r="O15" s="11">
        <v>462.33100000000002</v>
      </c>
      <c r="P15" s="23">
        <f t="shared" si="8"/>
        <v>1.0368648815456258</v>
      </c>
      <c r="Q15" s="11">
        <v>114.59</v>
      </c>
      <c r="R15" s="11">
        <v>123.88000000000001</v>
      </c>
      <c r="S15" s="23">
        <f t="shared" si="9"/>
        <v>1.0810716467405532</v>
      </c>
      <c r="T15" s="11">
        <v>657.63</v>
      </c>
      <c r="U15" s="11">
        <v>1101.0249999999999</v>
      </c>
      <c r="V15" s="14">
        <f t="shared" si="1"/>
        <v>1.6742317108404421</v>
      </c>
      <c r="W15" s="11">
        <v>948.36</v>
      </c>
      <c r="X15" s="11">
        <v>952.67399999999998</v>
      </c>
      <c r="Y15" s="23">
        <f t="shared" si="10"/>
        <v>1.0045489054789321</v>
      </c>
      <c r="Z15" s="11">
        <v>406.84</v>
      </c>
      <c r="AA15" s="11">
        <v>557</v>
      </c>
      <c r="AB15" s="23">
        <f t="shared" si="11"/>
        <v>1.3690885851931964</v>
      </c>
      <c r="AD15" t="s">
        <v>68</v>
      </c>
    </row>
    <row r="16" spans="1:30" ht="16.5">
      <c r="A16" s="24" t="s">
        <v>69</v>
      </c>
      <c r="B16" s="15">
        <v>165</v>
      </c>
      <c r="C16" s="15">
        <v>229.04300000000001</v>
      </c>
      <c r="D16" s="25">
        <f t="shared" si="4"/>
        <v>1.388139393939394</v>
      </c>
      <c r="E16" s="15">
        <v>53</v>
      </c>
      <c r="F16" s="15">
        <v>114.943</v>
      </c>
      <c r="G16" s="25">
        <f t="shared" si="5"/>
        <v>2.1687358490566035</v>
      </c>
      <c r="H16" s="15">
        <v>829</v>
      </c>
      <c r="I16" s="15">
        <v>3160.5509999999999</v>
      </c>
      <c r="J16" s="25">
        <f t="shared" si="6"/>
        <v>3.8124861278648976</v>
      </c>
      <c r="K16" s="15">
        <v>1406</v>
      </c>
      <c r="L16" s="15">
        <v>1947.0890000000002</v>
      </c>
      <c r="M16" s="25">
        <f t="shared" si="7"/>
        <v>1.3848428165007114</v>
      </c>
      <c r="N16" s="15">
        <v>1217</v>
      </c>
      <c r="O16" s="15">
        <v>1719.9869999999999</v>
      </c>
      <c r="P16" s="26">
        <f t="shared" si="8"/>
        <v>1.4133007395234181</v>
      </c>
      <c r="Q16" s="15">
        <v>359.53</v>
      </c>
      <c r="R16" s="15">
        <v>616.79200000000003</v>
      </c>
      <c r="S16" s="26">
        <f t="shared" si="9"/>
        <v>1.7155508580646959</v>
      </c>
      <c r="T16" s="15">
        <v>2173</v>
      </c>
      <c r="U16" s="15">
        <v>3052.9079999999999</v>
      </c>
      <c r="V16" s="14">
        <f t="shared" si="1"/>
        <v>1.4049277496548549</v>
      </c>
      <c r="W16" s="15">
        <v>2414</v>
      </c>
      <c r="X16" s="15">
        <v>3432.4949999999999</v>
      </c>
      <c r="Y16" s="26">
        <f t="shared" si="10"/>
        <v>1.4219117647058823</v>
      </c>
      <c r="Z16" s="15">
        <v>1744</v>
      </c>
      <c r="AA16" s="15">
        <v>3129</v>
      </c>
      <c r="AB16" s="26">
        <f t="shared" si="11"/>
        <v>1.7941513761467891</v>
      </c>
    </row>
    <row r="17" spans="1:28" ht="15"/>
    <row r="18" spans="1:28" ht="15">
      <c r="D18" t="s">
        <v>70</v>
      </c>
      <c r="G18" t="s">
        <v>70</v>
      </c>
      <c r="J18" t="s">
        <v>70</v>
      </c>
      <c r="M18" t="s">
        <v>70</v>
      </c>
      <c r="P18" t="s">
        <v>70</v>
      </c>
      <c r="S18" t="s">
        <v>70</v>
      </c>
      <c r="V18" t="s">
        <v>70</v>
      </c>
      <c r="Y18" t="s">
        <v>70</v>
      </c>
      <c r="AB18" t="s">
        <v>70</v>
      </c>
    </row>
    <row r="19" spans="1:28" ht="17.25">
      <c r="A19" s="16" t="s">
        <v>71</v>
      </c>
      <c r="B19" s="9">
        <v>7.48</v>
      </c>
      <c r="C19" s="9">
        <v>6.06</v>
      </c>
      <c r="D19" s="10">
        <f>C19-B19</f>
        <v>-1.4200000000000008</v>
      </c>
      <c r="E19" s="9">
        <v>0.04</v>
      </c>
      <c r="F19" s="9">
        <v>2.67</v>
      </c>
      <c r="G19" s="10">
        <f>F19-E19</f>
        <v>2.63</v>
      </c>
      <c r="H19" s="9">
        <v>37.83</v>
      </c>
      <c r="I19" s="9">
        <v>74.489999999999995</v>
      </c>
      <c r="J19" s="10">
        <f>I19-H19</f>
        <v>36.659999999999997</v>
      </c>
      <c r="K19" s="9">
        <v>79.16</v>
      </c>
      <c r="L19" s="9">
        <v>84.04</v>
      </c>
      <c r="M19" s="10">
        <f>L19-K19</f>
        <v>4.8800000000000097</v>
      </c>
      <c r="N19" s="9">
        <v>48.43</v>
      </c>
      <c r="O19" s="9">
        <v>57.49</v>
      </c>
      <c r="P19" s="10">
        <f>O19-N19</f>
        <v>9.0600000000000023</v>
      </c>
      <c r="Q19" s="9">
        <v>20.45</v>
      </c>
      <c r="R19" s="9"/>
      <c r="S19" s="10">
        <f t="shared" ref="S19:S25" si="12">R19-Q19</f>
        <v>-20.45</v>
      </c>
      <c r="T19" s="9">
        <v>93</v>
      </c>
      <c r="U19" s="9">
        <v>92.25</v>
      </c>
      <c r="V19" s="10">
        <f t="shared" ref="V19:V25" si="13">U19-T19</f>
        <v>-0.75</v>
      </c>
      <c r="W19" s="9">
        <v>95.16</v>
      </c>
      <c r="X19" s="9"/>
      <c r="Y19" s="10">
        <f t="shared" ref="Y19:Y25" si="14">X19-W19</f>
        <v>-95.16</v>
      </c>
      <c r="Z19" s="9">
        <v>50.39</v>
      </c>
      <c r="AA19" s="9"/>
      <c r="AB19" s="10">
        <f t="shared" ref="AB19:AB25" si="15">AA19-Z19</f>
        <v>-50.39</v>
      </c>
    </row>
    <row r="20" spans="1:28" ht="17.25">
      <c r="A20" s="17" t="s">
        <v>72</v>
      </c>
      <c r="B20" s="10">
        <v>0</v>
      </c>
      <c r="C20" s="10">
        <v>6.29</v>
      </c>
      <c r="D20" s="10">
        <f t="shared" ref="D20:D25" si="16">C20-B20</f>
        <v>6.29</v>
      </c>
      <c r="E20" s="10">
        <v>0</v>
      </c>
      <c r="F20" s="10">
        <v>0.47</v>
      </c>
      <c r="G20" s="10">
        <f t="shared" ref="G20:G25" si="17">F20-E20</f>
        <v>0.47</v>
      </c>
      <c r="H20" s="10">
        <v>0</v>
      </c>
      <c r="I20" s="10">
        <v>25.51</v>
      </c>
      <c r="J20" s="10">
        <f t="shared" ref="J20:J25" si="18">I20-H20</f>
        <v>25.51</v>
      </c>
      <c r="K20" s="10">
        <v>0</v>
      </c>
      <c r="L20" s="10">
        <v>10.67</v>
      </c>
      <c r="M20" s="10">
        <f t="shared" ref="M20:M25" si="19">L20-K20</f>
        <v>10.67</v>
      </c>
      <c r="N20" s="10">
        <v>0</v>
      </c>
      <c r="O20" s="10">
        <v>8.2200000000000006</v>
      </c>
      <c r="P20" s="10">
        <f t="shared" ref="P20:P25" si="20">O20-N20</f>
        <v>8.2200000000000006</v>
      </c>
      <c r="Q20" s="10">
        <v>0</v>
      </c>
      <c r="R20" s="10"/>
      <c r="S20" s="10">
        <f t="shared" si="12"/>
        <v>0</v>
      </c>
      <c r="T20" s="10">
        <v>0</v>
      </c>
      <c r="U20" s="10">
        <v>7.75</v>
      </c>
      <c r="V20" s="10">
        <f t="shared" si="13"/>
        <v>7.75</v>
      </c>
      <c r="W20" s="10">
        <v>0</v>
      </c>
      <c r="X20" s="10"/>
      <c r="Y20" s="10">
        <f t="shared" si="14"/>
        <v>0</v>
      </c>
      <c r="Z20" s="10">
        <v>0</v>
      </c>
      <c r="AA20" s="10"/>
      <c r="AB20" s="10">
        <f t="shared" si="15"/>
        <v>0</v>
      </c>
    </row>
    <row r="21" spans="1:28" ht="17.25">
      <c r="A21" s="17" t="s">
        <v>73</v>
      </c>
      <c r="B21" s="10">
        <v>1.88</v>
      </c>
      <c r="C21" s="10">
        <v>0.19</v>
      </c>
      <c r="D21" s="10">
        <f t="shared" si="16"/>
        <v>-1.69</v>
      </c>
      <c r="E21" s="10">
        <v>0.03</v>
      </c>
      <c r="F21" s="10">
        <v>0.01</v>
      </c>
      <c r="G21" s="10">
        <f t="shared" si="17"/>
        <v>-1.9999999999999997E-2</v>
      </c>
      <c r="H21" s="10">
        <v>30.15</v>
      </c>
      <c r="I21" s="10">
        <v>0</v>
      </c>
      <c r="J21" s="10">
        <f t="shared" si="18"/>
        <v>-30.15</v>
      </c>
      <c r="K21" s="10">
        <v>9.5</v>
      </c>
      <c r="L21" s="10">
        <v>5.29</v>
      </c>
      <c r="M21" s="10">
        <f t="shared" si="19"/>
        <v>-4.21</v>
      </c>
      <c r="N21" s="10">
        <v>15.66</v>
      </c>
      <c r="O21" s="10">
        <v>1.7</v>
      </c>
      <c r="P21" s="10">
        <f t="shared" si="20"/>
        <v>-13.96</v>
      </c>
      <c r="Q21" s="10">
        <v>3.92</v>
      </c>
      <c r="R21" s="10"/>
      <c r="S21" s="10">
        <f t="shared" si="12"/>
        <v>-3.92</v>
      </c>
      <c r="T21" s="10">
        <v>7</v>
      </c>
      <c r="U21" s="10">
        <v>0</v>
      </c>
      <c r="V21" s="10">
        <f t="shared" si="13"/>
        <v>-7</v>
      </c>
      <c r="W21" s="10">
        <v>4.84</v>
      </c>
      <c r="X21" s="10"/>
      <c r="Y21" s="10">
        <f t="shared" si="14"/>
        <v>-4.84</v>
      </c>
      <c r="Z21" s="10">
        <v>8.5500000000000007</v>
      </c>
      <c r="AA21" s="10"/>
      <c r="AB21" s="10">
        <f t="shared" si="15"/>
        <v>-8.5500000000000007</v>
      </c>
    </row>
    <row r="22" spans="1:28" ht="17.25">
      <c r="A22" s="17" t="s">
        <v>74</v>
      </c>
      <c r="B22" s="10">
        <v>0.35</v>
      </c>
      <c r="C22" s="10">
        <v>0.27</v>
      </c>
      <c r="D22" s="10">
        <f t="shared" si="16"/>
        <v>-7.999999999999996E-2</v>
      </c>
      <c r="E22" s="10">
        <v>0.04</v>
      </c>
      <c r="F22" s="10">
        <v>0.06</v>
      </c>
      <c r="G22" s="10">
        <f t="shared" si="17"/>
        <v>1.9999999999999997E-2</v>
      </c>
      <c r="H22" s="10">
        <v>0</v>
      </c>
      <c r="I22" s="10">
        <v>0</v>
      </c>
      <c r="J22" s="10">
        <f t="shared" si="18"/>
        <v>0</v>
      </c>
      <c r="K22" s="10">
        <v>0</v>
      </c>
      <c r="L22" s="10">
        <v>0</v>
      </c>
      <c r="M22" s="10">
        <f t="shared" si="19"/>
        <v>0</v>
      </c>
      <c r="N22" s="10">
        <v>0.3</v>
      </c>
      <c r="O22" s="10">
        <v>0.61</v>
      </c>
      <c r="P22" s="10">
        <f t="shared" si="20"/>
        <v>0.31</v>
      </c>
      <c r="Q22" s="10">
        <v>0.67</v>
      </c>
      <c r="R22" s="10"/>
      <c r="S22" s="10">
        <f t="shared" si="12"/>
        <v>-0.67</v>
      </c>
      <c r="T22" s="10">
        <v>0</v>
      </c>
      <c r="U22" s="10">
        <v>0</v>
      </c>
      <c r="V22" s="10">
        <f t="shared" si="13"/>
        <v>0</v>
      </c>
      <c r="W22" s="10">
        <v>0</v>
      </c>
      <c r="X22" s="10"/>
      <c r="Y22" s="10">
        <f t="shared" si="14"/>
        <v>0</v>
      </c>
      <c r="Z22" s="10">
        <v>0.34</v>
      </c>
      <c r="AA22" s="10"/>
      <c r="AB22" s="10">
        <f t="shared" si="15"/>
        <v>-0.34</v>
      </c>
    </row>
    <row r="23" spans="1:28" ht="17.25">
      <c r="A23" s="17" t="s">
        <v>75</v>
      </c>
      <c r="B23" s="10">
        <v>0.27</v>
      </c>
      <c r="C23" s="10">
        <v>0.39</v>
      </c>
      <c r="D23" s="10">
        <f t="shared" si="16"/>
        <v>0.12</v>
      </c>
      <c r="E23" s="10">
        <v>0.03</v>
      </c>
      <c r="F23" s="10">
        <v>0.03</v>
      </c>
      <c r="G23" s="10">
        <f t="shared" si="17"/>
        <v>0</v>
      </c>
      <c r="H23" s="10">
        <v>32.020000000000003</v>
      </c>
      <c r="I23" s="10">
        <v>0</v>
      </c>
      <c r="J23" s="10">
        <f t="shared" si="18"/>
        <v>-32.020000000000003</v>
      </c>
      <c r="K23" s="10">
        <v>11.34</v>
      </c>
      <c r="L23" s="10">
        <v>0</v>
      </c>
      <c r="M23" s="10">
        <f t="shared" si="19"/>
        <v>-11.34</v>
      </c>
      <c r="N23" s="10">
        <v>0.25</v>
      </c>
      <c r="O23" s="10">
        <v>4.9400000000000004</v>
      </c>
      <c r="P23" s="10">
        <f t="shared" si="20"/>
        <v>4.6900000000000004</v>
      </c>
      <c r="Q23" s="10">
        <v>0.52</v>
      </c>
      <c r="R23" s="10"/>
      <c r="S23" s="10">
        <f t="shared" si="12"/>
        <v>-0.52</v>
      </c>
      <c r="T23" s="10">
        <v>0</v>
      </c>
      <c r="U23" s="10">
        <v>0</v>
      </c>
      <c r="V23" s="10">
        <f t="shared" si="13"/>
        <v>0</v>
      </c>
      <c r="W23" s="10">
        <v>0</v>
      </c>
      <c r="X23" s="10"/>
      <c r="Y23" s="10">
        <f t="shared" si="14"/>
        <v>0</v>
      </c>
      <c r="Z23" s="10">
        <v>0.27</v>
      </c>
      <c r="AA23" s="10"/>
      <c r="AB23" s="10">
        <f t="shared" si="15"/>
        <v>-0.27</v>
      </c>
    </row>
    <row r="24" spans="1:28" ht="17.45">
      <c r="A24" s="17" t="s">
        <v>76</v>
      </c>
      <c r="B24" s="10">
        <v>90.02</v>
      </c>
      <c r="C24" s="10">
        <v>0.43</v>
      </c>
      <c r="D24" s="10">
        <f t="shared" si="16"/>
        <v>-89.589999999999989</v>
      </c>
      <c r="E24" s="10">
        <v>0.06</v>
      </c>
      <c r="F24" s="10">
        <v>0.01</v>
      </c>
      <c r="G24" s="10">
        <f t="shared" si="17"/>
        <v>-4.9999999999999996E-2</v>
      </c>
      <c r="H24" s="10">
        <v>0</v>
      </c>
      <c r="I24" s="10">
        <v>0</v>
      </c>
      <c r="J24" s="10">
        <f t="shared" si="18"/>
        <v>0</v>
      </c>
      <c r="K24" s="10">
        <v>0</v>
      </c>
      <c r="L24" s="10">
        <v>0</v>
      </c>
      <c r="M24" s="10">
        <f t="shared" si="19"/>
        <v>0</v>
      </c>
      <c r="N24" s="10">
        <v>35.369999999999997</v>
      </c>
      <c r="O24" s="10">
        <v>0.5</v>
      </c>
      <c r="P24" s="10">
        <f t="shared" si="20"/>
        <v>-34.869999999999997</v>
      </c>
      <c r="Q24" s="10">
        <v>74.44</v>
      </c>
      <c r="R24" s="10"/>
      <c r="S24" s="10">
        <f t="shared" si="12"/>
        <v>-74.44</v>
      </c>
      <c r="T24" s="10">
        <v>0</v>
      </c>
      <c r="U24" s="10">
        <v>0</v>
      </c>
      <c r="V24" s="10">
        <f t="shared" si="13"/>
        <v>0</v>
      </c>
      <c r="W24" s="10">
        <v>0</v>
      </c>
      <c r="X24" s="10"/>
      <c r="Y24" s="10">
        <f t="shared" si="14"/>
        <v>0</v>
      </c>
      <c r="Z24" s="10">
        <v>40.46</v>
      </c>
      <c r="AA24" s="10"/>
      <c r="AB24" s="10">
        <f t="shared" si="15"/>
        <v>-40.46</v>
      </c>
    </row>
    <row r="25" spans="1:28" ht="17.45">
      <c r="A25" s="34" t="s">
        <v>77</v>
      </c>
      <c r="B25" s="35">
        <v>0</v>
      </c>
      <c r="C25" s="35">
        <v>86.37</v>
      </c>
      <c r="D25" s="35">
        <f t="shared" si="16"/>
        <v>86.37</v>
      </c>
      <c r="E25" s="35">
        <v>99.81</v>
      </c>
      <c r="F25" s="35">
        <v>96.75</v>
      </c>
      <c r="G25" s="35">
        <f t="shared" si="17"/>
        <v>-3.0600000000000023</v>
      </c>
      <c r="H25" s="35">
        <v>0</v>
      </c>
      <c r="I25" s="35">
        <v>0</v>
      </c>
      <c r="J25" s="35">
        <f t="shared" si="18"/>
        <v>0</v>
      </c>
      <c r="K25" s="35">
        <v>0</v>
      </c>
      <c r="L25" s="35">
        <v>0</v>
      </c>
      <c r="M25" s="35">
        <f t="shared" si="19"/>
        <v>0</v>
      </c>
      <c r="N25" s="35">
        <v>0</v>
      </c>
      <c r="O25" s="35">
        <v>26.54</v>
      </c>
      <c r="P25" s="35">
        <f t="shared" si="20"/>
        <v>26.54</v>
      </c>
      <c r="Q25" s="35">
        <v>0</v>
      </c>
      <c r="R25" s="35"/>
      <c r="S25" s="35">
        <f t="shared" si="12"/>
        <v>0</v>
      </c>
      <c r="T25" s="35">
        <v>0</v>
      </c>
      <c r="U25" s="35">
        <v>0</v>
      </c>
      <c r="V25" s="35">
        <f t="shared" si="13"/>
        <v>0</v>
      </c>
      <c r="W25" s="35">
        <v>0</v>
      </c>
      <c r="X25" s="35"/>
      <c r="Y25" s="35">
        <f t="shared" si="14"/>
        <v>0</v>
      </c>
      <c r="Z25" s="35">
        <v>0</v>
      </c>
      <c r="AA25" s="35"/>
      <c r="AB25" s="35">
        <f t="shared" si="15"/>
        <v>0</v>
      </c>
    </row>
    <row r="27" spans="1:28" ht="17.45">
      <c r="A27" s="16" t="s">
        <v>78</v>
      </c>
      <c r="B27" s="9">
        <v>0.77</v>
      </c>
      <c r="C27" s="9">
        <v>0.87</v>
      </c>
      <c r="D27" s="10">
        <f>C27-B27</f>
        <v>9.9999999999999978E-2</v>
      </c>
      <c r="E27" s="9"/>
      <c r="F27" s="9">
        <v>0.24</v>
      </c>
      <c r="G27" s="10">
        <f>F27-E27</f>
        <v>0.24</v>
      </c>
      <c r="H27" s="9">
        <v>0</v>
      </c>
      <c r="I27" s="9">
        <v>0</v>
      </c>
      <c r="J27" s="10">
        <f>I27-H27</f>
        <v>0</v>
      </c>
      <c r="K27" s="9">
        <v>0</v>
      </c>
      <c r="L27" s="9">
        <v>0</v>
      </c>
      <c r="M27" s="10">
        <f>L27-K27</f>
        <v>0</v>
      </c>
      <c r="N27" s="9">
        <v>18.27</v>
      </c>
      <c r="O27" s="9">
        <v>11.76</v>
      </c>
      <c r="P27" s="10">
        <f>O27-N27</f>
        <v>-6.51</v>
      </c>
      <c r="Q27" s="9"/>
      <c r="R27" s="9"/>
      <c r="S27" s="10">
        <f t="shared" ref="S27:S29" si="21">R27-Q27</f>
        <v>0</v>
      </c>
      <c r="T27" s="9"/>
      <c r="U27" s="9"/>
      <c r="V27" s="10">
        <f t="shared" ref="V27:V29" si="22">U27-T27</f>
        <v>0</v>
      </c>
      <c r="W27" s="9"/>
      <c r="X27" s="9"/>
      <c r="Y27" s="10">
        <f t="shared" ref="Y27:Y29" si="23">X27-W27</f>
        <v>0</v>
      </c>
      <c r="Z27" s="9"/>
      <c r="AA27" s="9"/>
      <c r="AB27" s="10">
        <f t="shared" ref="AB27:AB29" si="24">AA27-Z27</f>
        <v>0</v>
      </c>
    </row>
    <row r="28" spans="1:28" ht="17.45">
      <c r="A28" s="17" t="s">
        <v>79</v>
      </c>
      <c r="B28" s="10">
        <v>4.75</v>
      </c>
      <c r="C28" s="10">
        <v>14.81</v>
      </c>
      <c r="D28" s="10">
        <f t="shared" ref="D28:D29" si="25">C28-B28</f>
        <v>10.06</v>
      </c>
      <c r="E28" s="10">
        <v>100</v>
      </c>
      <c r="F28" s="10">
        <v>0.76</v>
      </c>
      <c r="G28" s="10">
        <f t="shared" ref="G28:G29" si="26">F28-E28</f>
        <v>-99.24</v>
      </c>
      <c r="H28" s="10">
        <v>0</v>
      </c>
      <c r="I28" s="10">
        <v>0</v>
      </c>
      <c r="J28" s="10">
        <f t="shared" ref="J28:J29" si="27">I28-H28</f>
        <v>0</v>
      </c>
      <c r="K28" s="10">
        <v>0</v>
      </c>
      <c r="L28" s="10">
        <v>0</v>
      </c>
      <c r="M28" s="10">
        <f t="shared" ref="M28:M29" si="28">L28-K28</f>
        <v>0</v>
      </c>
      <c r="N28" s="10">
        <v>0</v>
      </c>
      <c r="O28" s="10">
        <v>1.52</v>
      </c>
      <c r="P28" s="10">
        <f t="shared" ref="P28:P29" si="29">O28-N28</f>
        <v>1.52</v>
      </c>
      <c r="Q28" s="10"/>
      <c r="R28" s="10"/>
      <c r="S28" s="10">
        <f t="shared" si="21"/>
        <v>0</v>
      </c>
      <c r="T28" s="10"/>
      <c r="U28" s="10"/>
      <c r="V28" s="10">
        <f t="shared" si="22"/>
        <v>0</v>
      </c>
      <c r="W28" s="10"/>
      <c r="X28" s="10"/>
      <c r="Y28" s="10">
        <f t="shared" si="23"/>
        <v>0</v>
      </c>
      <c r="Z28" s="10"/>
      <c r="AA28" s="10"/>
      <c r="AB28" s="10">
        <f t="shared" si="24"/>
        <v>0</v>
      </c>
    </row>
    <row r="29" spans="1:28" ht="17.45">
      <c r="A29" s="34" t="s">
        <v>80</v>
      </c>
      <c r="B29" s="35">
        <v>77.260000000000005</v>
      </c>
      <c r="C29" s="35">
        <v>44.89</v>
      </c>
      <c r="D29" s="10">
        <f t="shared" si="25"/>
        <v>-32.370000000000005</v>
      </c>
      <c r="E29" s="35">
        <v>100</v>
      </c>
      <c r="F29" s="35">
        <v>93.78</v>
      </c>
      <c r="G29" s="10">
        <f t="shared" si="26"/>
        <v>-6.2199999999999989</v>
      </c>
      <c r="H29" s="35">
        <v>0</v>
      </c>
      <c r="I29" s="35">
        <v>0</v>
      </c>
      <c r="J29" s="10">
        <f t="shared" si="27"/>
        <v>0</v>
      </c>
      <c r="K29" s="35">
        <v>0</v>
      </c>
      <c r="L29" s="35">
        <v>0</v>
      </c>
      <c r="M29" s="10">
        <f t="shared" si="28"/>
        <v>0</v>
      </c>
      <c r="N29" s="35">
        <v>0</v>
      </c>
      <c r="O29" s="35">
        <v>2.44</v>
      </c>
      <c r="P29" s="10">
        <f t="shared" si="29"/>
        <v>2.44</v>
      </c>
      <c r="Q29" s="35"/>
      <c r="R29" s="35"/>
      <c r="S29" s="10">
        <f t="shared" si="21"/>
        <v>0</v>
      </c>
      <c r="T29" s="35"/>
      <c r="U29" s="35"/>
      <c r="V29" s="10">
        <f t="shared" si="22"/>
        <v>0</v>
      </c>
      <c r="W29" s="35"/>
      <c r="X29" s="35"/>
      <c r="Y29" s="10">
        <f t="shared" si="23"/>
        <v>0</v>
      </c>
      <c r="Z29" s="35"/>
      <c r="AA29" s="35"/>
      <c r="AB29" s="10">
        <f t="shared" si="24"/>
        <v>0</v>
      </c>
    </row>
  </sheetData>
  <mergeCells count="9">
    <mergeCell ref="Z2:AA2"/>
    <mergeCell ref="H2:I2"/>
    <mergeCell ref="K2:L2"/>
    <mergeCell ref="N2:O2"/>
    <mergeCell ref="B2:C2"/>
    <mergeCell ref="E2:F2"/>
    <mergeCell ref="T2:U2"/>
    <mergeCell ref="W2:X2"/>
    <mergeCell ref="Q2:R2"/>
  </mergeCells>
  <conditionalFormatting sqref="D4:D8 D11:D16">
    <cfRule type="cellIs" dxfId="27" priority="49" operator="lessThan">
      <formula>1.35</formula>
    </cfRule>
    <cfRule type="cellIs" dxfId="26" priority="50" operator="greaterThan">
      <formula>1.35</formula>
    </cfRule>
  </conditionalFormatting>
  <conditionalFormatting sqref="D19:D25 D27:D29">
    <cfRule type="cellIs" dxfId="25" priority="27" operator="between">
      <formula>5</formula>
      <formula>-5</formula>
    </cfRule>
    <cfRule type="cellIs" dxfId="24" priority="28" operator="notBetween">
      <formula>5</formula>
      <formula>-5</formula>
    </cfRule>
  </conditionalFormatting>
  <conditionalFormatting sqref="G4:G8 G11:G16">
    <cfRule type="cellIs" dxfId="23" priority="37" operator="lessThan">
      <formula>1.35</formula>
    </cfRule>
    <cfRule type="cellIs" dxfId="22" priority="38" operator="greaterThan">
      <formula>1.35</formula>
    </cfRule>
  </conditionalFormatting>
  <conditionalFormatting sqref="G19:G25 G27:G29">
    <cfRule type="cellIs" dxfId="21" priority="17" operator="between">
      <formula>5</formula>
      <formula>-5</formula>
    </cfRule>
    <cfRule type="cellIs" dxfId="20" priority="18" operator="notBetween">
      <formula>5</formula>
      <formula>-5</formula>
    </cfRule>
  </conditionalFormatting>
  <conditionalFormatting sqref="J4:J8 J11:J16">
    <cfRule type="cellIs" dxfId="19" priority="35" operator="lessThan">
      <formula>1.35</formula>
    </cfRule>
    <cfRule type="cellIs" dxfId="18" priority="36" operator="greaterThan">
      <formula>1.35</formula>
    </cfRule>
  </conditionalFormatting>
  <conditionalFormatting sqref="J19:J25 M19:M25 P19:P25 J27:J29 M27:M29 P27:P29">
    <cfRule type="cellIs" dxfId="17" priority="13" operator="between">
      <formula>5</formula>
      <formula>-5</formula>
    </cfRule>
    <cfRule type="cellIs" dxfId="16" priority="14" operator="notBetween">
      <formula>5</formula>
      <formula>-5</formula>
    </cfRule>
  </conditionalFormatting>
  <conditionalFormatting sqref="M4:M8 M11:M16">
    <cfRule type="cellIs" dxfId="15" priority="29" operator="lessThan">
      <formula>1.35</formula>
    </cfRule>
    <cfRule type="cellIs" dxfId="14" priority="30" operator="greaterThan">
      <formula>1.35</formula>
    </cfRule>
  </conditionalFormatting>
  <conditionalFormatting sqref="P4:P8 P11:P16">
    <cfRule type="cellIs" dxfId="13" priority="31" operator="lessThan">
      <formula>1.35</formula>
    </cfRule>
    <cfRule type="cellIs" dxfId="12" priority="32" operator="greaterThan">
      <formula>1.35</formula>
    </cfRule>
  </conditionalFormatting>
  <conditionalFormatting sqref="S4:S8 S11:S16">
    <cfRule type="cellIs" dxfId="11" priority="7" operator="lessThan">
      <formula>1.35</formula>
    </cfRule>
    <cfRule type="cellIs" dxfId="10" priority="8" operator="greaterThan">
      <formula>1.35</formula>
    </cfRule>
  </conditionalFormatting>
  <conditionalFormatting sqref="S19:S25 S27:S29">
    <cfRule type="cellIs" dxfId="9" priority="5" operator="between">
      <formula>5</formula>
      <formula>-5</formula>
    </cfRule>
    <cfRule type="cellIs" dxfId="8" priority="6" operator="notBetween">
      <formula>5</formula>
      <formula>-5</formula>
    </cfRule>
  </conditionalFormatting>
  <conditionalFormatting sqref="V19:V25 Y19:Y25 V27:V29 Y27:Y29">
    <cfRule type="cellIs" dxfId="7" priority="9" operator="between">
      <formula>5</formula>
      <formula>-5</formula>
    </cfRule>
    <cfRule type="cellIs" dxfId="6" priority="10" operator="notBetween">
      <formula>5</formula>
      <formula>-5</formula>
    </cfRule>
  </conditionalFormatting>
  <conditionalFormatting sqref="Y4:Y8 V4:V16 Y11:Y16">
    <cfRule type="cellIs" dxfId="5" priority="11" operator="lessThan">
      <formula>1.35</formula>
    </cfRule>
    <cfRule type="cellIs" dxfId="4" priority="12" operator="greaterThan">
      <formula>1.35</formula>
    </cfRule>
  </conditionalFormatting>
  <conditionalFormatting sqref="AB4:AB8 AB11:AB16">
    <cfRule type="cellIs" dxfId="3" priority="3" operator="lessThan">
      <formula>1.35</formula>
    </cfRule>
    <cfRule type="cellIs" dxfId="2" priority="4" operator="greaterThan">
      <formula>1.35</formula>
    </cfRule>
  </conditionalFormatting>
  <conditionalFormatting sqref="AB19:AB25 AB27:AB29">
    <cfRule type="cellIs" dxfId="1" priority="1" operator="between">
      <formula>5</formula>
      <formula>-5</formula>
    </cfRule>
    <cfRule type="cellIs" dxfId="0" priority="2" operator="notBetween">
      <formula>5</formula>
      <formula>-5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0A30-AD06-408C-BBE9-9BC24B9A8880}">
  <dimension ref="A2:C13"/>
  <sheetViews>
    <sheetView workbookViewId="0">
      <selection activeCell="B15" sqref="B15"/>
    </sheetView>
  </sheetViews>
  <sheetFormatPr defaultRowHeight="14.45"/>
  <cols>
    <col min="1" max="1" width="18.28515625" bestFit="1" customWidth="1"/>
    <col min="2" max="2" width="68.85546875" bestFit="1" customWidth="1"/>
    <col min="3" max="3" width="19.140625" bestFit="1" customWidth="1"/>
  </cols>
  <sheetData>
    <row r="2" spans="1:3">
      <c r="A2" s="67" t="s">
        <v>81</v>
      </c>
      <c r="B2" s="68"/>
      <c r="C2" s="5" t="s">
        <v>82</v>
      </c>
    </row>
    <row r="3" spans="1:3">
      <c r="A3" s="6" t="s">
        <v>83</v>
      </c>
      <c r="B3" s="7"/>
      <c r="C3" s="8"/>
    </row>
    <row r="4" spans="1:3">
      <c r="A4" s="6" t="s">
        <v>84</v>
      </c>
      <c r="B4" s="7"/>
      <c r="C4" s="8"/>
    </row>
    <row r="5" spans="1:3">
      <c r="A5" s="6" t="s">
        <v>85</v>
      </c>
      <c r="B5" s="7"/>
      <c r="C5" s="8"/>
    </row>
    <row r="6" spans="1:3">
      <c r="A6" s="6" t="s">
        <v>86</v>
      </c>
      <c r="B6" s="7"/>
      <c r="C6" s="8"/>
    </row>
    <row r="7" spans="1:3">
      <c r="A7" s="6" t="s">
        <v>87</v>
      </c>
      <c r="B7" s="7"/>
      <c r="C7" s="8"/>
    </row>
    <row r="8" spans="1:3">
      <c r="A8" s="6" t="s">
        <v>88</v>
      </c>
      <c r="B8" s="7" t="s">
        <v>89</v>
      </c>
      <c r="C8" s="8"/>
    </row>
    <row r="9" spans="1:3">
      <c r="A9" s="6" t="s">
        <v>90</v>
      </c>
      <c r="B9" s="7" t="s">
        <v>91</v>
      </c>
      <c r="C9" s="8"/>
    </row>
    <row r="10" spans="1:3">
      <c r="A10" s="6" t="s">
        <v>92</v>
      </c>
      <c r="B10" s="7" t="s">
        <v>93</v>
      </c>
      <c r="C10" s="8"/>
    </row>
    <row r="11" spans="1:3">
      <c r="A11" s="6" t="s">
        <v>94</v>
      </c>
      <c r="B11" s="7" t="s">
        <v>95</v>
      </c>
      <c r="C11" s="8"/>
    </row>
    <row r="12" spans="1:3">
      <c r="A12" s="6" t="s">
        <v>96</v>
      </c>
      <c r="B12" s="7" t="s">
        <v>97</v>
      </c>
      <c r="C12" s="8"/>
    </row>
    <row r="13" spans="1:3">
      <c r="A13" s="6" t="s">
        <v>98</v>
      </c>
      <c r="B13" s="7"/>
      <c r="C13" s="8"/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8F17-F831-499C-A3A0-BF5285AE17A0}">
  <dimension ref="A2:J43"/>
  <sheetViews>
    <sheetView workbookViewId="0">
      <selection activeCell="A20" sqref="A20"/>
    </sheetView>
  </sheetViews>
  <sheetFormatPr defaultRowHeight="14.45"/>
  <cols>
    <col min="1" max="1" width="22.5703125" bestFit="1" customWidth="1"/>
  </cols>
  <sheetData>
    <row r="2" spans="1:10">
      <c r="A2" t="s">
        <v>99</v>
      </c>
    </row>
    <row r="3" spans="1:10">
      <c r="B3" t="s">
        <v>45</v>
      </c>
      <c r="C3" t="s">
        <v>43</v>
      </c>
      <c r="D3" t="s">
        <v>49</v>
      </c>
      <c r="E3" t="s">
        <v>52</v>
      </c>
      <c r="F3" t="s">
        <v>48</v>
      </c>
      <c r="G3" t="s">
        <v>47</v>
      </c>
      <c r="H3" t="s">
        <v>46</v>
      </c>
      <c r="I3" t="s">
        <v>50</v>
      </c>
      <c r="J3" t="s">
        <v>51</v>
      </c>
    </row>
    <row r="4" spans="1:10">
      <c r="A4" t="s">
        <v>100</v>
      </c>
      <c r="B4" s="37">
        <f>Debug_power!$F4</f>
        <v>0</v>
      </c>
      <c r="C4" s="37">
        <f>Debug_power!$C4</f>
        <v>9.01</v>
      </c>
      <c r="D4" s="37">
        <f>Debug_power!$R4</f>
        <v>51.259</v>
      </c>
      <c r="E4" s="37">
        <f>Debug_power!$AA4</f>
        <v>351</v>
      </c>
      <c r="F4" s="37">
        <f>Debug_power!$O4</f>
        <v>186.72300000000001</v>
      </c>
      <c r="G4" s="37">
        <f>Debug_power!$L4</f>
        <v>217.22800000000001</v>
      </c>
      <c r="H4" s="37">
        <f>Debug_power!$I4</f>
        <v>379.41200000000003</v>
      </c>
      <c r="I4" s="37">
        <f>Debug_power!$U4</f>
        <v>379.79</v>
      </c>
      <c r="J4" s="37">
        <f>Debug_power!$X4</f>
        <v>493.96499999999997</v>
      </c>
    </row>
    <row r="5" spans="1:10">
      <c r="A5" t="s">
        <v>101</v>
      </c>
      <c r="B5" s="37">
        <f>Debug_power!$F5</f>
        <v>20.931000000000001</v>
      </c>
      <c r="C5" s="37">
        <f>Debug_power!$C5</f>
        <v>40.480000000000004</v>
      </c>
      <c r="D5" s="37">
        <f>Debug_power!$R5</f>
        <v>106.34699999999999</v>
      </c>
      <c r="E5" s="37">
        <f>Debug_power!$AA5</f>
        <v>196</v>
      </c>
      <c r="F5" s="37">
        <f>Debug_power!$O5</f>
        <v>176.13899999999998</v>
      </c>
      <c r="G5" s="37">
        <f>Debug_power!$L5</f>
        <v>144.61099999999999</v>
      </c>
      <c r="H5" s="37">
        <f>Debug_power!$I5</f>
        <v>183.21499999999997</v>
      </c>
      <c r="I5" s="37">
        <f>Debug_power!$U5</f>
        <v>305.387</v>
      </c>
      <c r="J5" s="37">
        <f>Debug_power!$X5</f>
        <v>220.34400000000002</v>
      </c>
    </row>
    <row r="6" spans="1:10">
      <c r="A6" t="s">
        <v>102</v>
      </c>
      <c r="B6" s="37">
        <f>Debug_power!$F6</f>
        <v>73.594000000000008</v>
      </c>
      <c r="C6" s="37">
        <f>Debug_power!$C6</f>
        <v>114.78399999999999</v>
      </c>
      <c r="D6" s="37">
        <f>Debug_power!$R6</f>
        <v>230.27600000000001</v>
      </c>
      <c r="E6" s="37">
        <f>Debug_power!$AA6</f>
        <v>508</v>
      </c>
      <c r="F6" s="37">
        <f>Debug_power!$O6</f>
        <v>420.69200000000001</v>
      </c>
      <c r="G6" s="37">
        <f>Debug_power!$L6</f>
        <v>428.709</v>
      </c>
      <c r="H6" s="37">
        <f>Debug_power!$I6</f>
        <v>686.95300000000009</v>
      </c>
      <c r="I6" s="37">
        <f>Debug_power!$U6</f>
        <v>618.70400000000006</v>
      </c>
      <c r="J6" s="37">
        <f>Debug_power!$X6</f>
        <v>729.923</v>
      </c>
    </row>
    <row r="7" spans="1:10">
      <c r="A7" t="s">
        <v>103</v>
      </c>
      <c r="B7" s="37">
        <f>Debug_power!$F7</f>
        <v>0.51600000000000001</v>
      </c>
      <c r="C7" s="37">
        <f>Debug_power!$C7</f>
        <v>0.82</v>
      </c>
      <c r="D7" s="37">
        <f>Debug_power!$R7</f>
        <v>1.087</v>
      </c>
      <c r="E7" s="37">
        <f>Debug_power!$AA7</f>
        <v>3</v>
      </c>
      <c r="F7" s="37">
        <f>Debug_power!$O7</f>
        <v>1.5070000000000001</v>
      </c>
      <c r="G7" s="37">
        <f>Debug_power!$L7</f>
        <v>2.72</v>
      </c>
      <c r="H7" s="37">
        <f>Debug_power!$I7</f>
        <v>1.7550000000000001</v>
      </c>
      <c r="I7" s="37">
        <f>Debug_power!$U7</f>
        <v>14.704000000000001</v>
      </c>
      <c r="J7" s="37">
        <f>Debug_power!$X7</f>
        <v>1.681</v>
      </c>
    </row>
    <row r="8" spans="1:10">
      <c r="A8" t="s">
        <v>104</v>
      </c>
      <c r="B8" s="37">
        <f>Debug_power!$F8</f>
        <v>3.3000000000000002E-2</v>
      </c>
      <c r="C8" s="37">
        <f>Debug_power!$C8</f>
        <v>1E-3</v>
      </c>
      <c r="D8" s="37">
        <f>Debug_power!$R8</f>
        <v>-2E-3</v>
      </c>
      <c r="E8" s="37">
        <f>Debug_power!$AA8</f>
        <v>0</v>
      </c>
      <c r="F8" s="37">
        <f>Debug_power!$O8</f>
        <v>0.04</v>
      </c>
      <c r="G8" s="37">
        <f>Debug_power!$L8</f>
        <v>-3.0000000000000002E-2</v>
      </c>
      <c r="H8" s="37">
        <f>Debug_power!$I8</f>
        <v>1.7000000000000001E-2</v>
      </c>
      <c r="I8" s="37">
        <f>Debug_power!$U8</f>
        <v>-2.5999999999999999E-2</v>
      </c>
      <c r="J8" s="37">
        <f>Debug_power!$X8</f>
        <v>-3.3000000000000002E-2</v>
      </c>
    </row>
    <row r="9" spans="1:10">
      <c r="A9" t="s">
        <v>105</v>
      </c>
      <c r="B9" s="37">
        <f>Debug_power!$F9</f>
        <v>0.60199999999999998</v>
      </c>
      <c r="C9" s="37">
        <f>Debug_power!$C9</f>
        <v>1.5920000000000001</v>
      </c>
      <c r="D9" s="37">
        <f>Debug_power!$R9</f>
        <v>3.7210000000000001</v>
      </c>
      <c r="E9" s="37">
        <f>Debug_power!$AA9</f>
        <v>6</v>
      </c>
      <c r="F9" s="37">
        <f>Debug_power!$O9</f>
        <v>5.367</v>
      </c>
      <c r="G9" s="37">
        <f>Debug_power!$L9</f>
        <v>6.14</v>
      </c>
      <c r="H9" s="37">
        <f>Debug_power!$I9</f>
        <v>6.4809999999999999</v>
      </c>
      <c r="I9" s="37">
        <f>Debug_power!$U9</f>
        <v>8.1159999999999997</v>
      </c>
      <c r="J9" s="37">
        <f>Debug_power!$X9</f>
        <v>7.2309999999999999</v>
      </c>
    </row>
    <row r="10" spans="1:10">
      <c r="A10" t="s">
        <v>106</v>
      </c>
      <c r="B10" s="37">
        <f>Debug_power!$F10</f>
        <v>18.363999999999997</v>
      </c>
      <c r="C10" s="37">
        <f>Debug_power!$C10</f>
        <v>21.198999999999998</v>
      </c>
      <c r="D10" s="37">
        <f>Debug_power!$R10</f>
        <v>31.145</v>
      </c>
      <c r="E10" s="37">
        <f>Debug_power!$AA10</f>
        <v>88</v>
      </c>
      <c r="F10" s="37">
        <f>Debug_power!$O10</f>
        <v>58.14</v>
      </c>
      <c r="G10" s="37">
        <f>Debug_power!$L10</f>
        <v>60.383000000000003</v>
      </c>
      <c r="H10" s="37">
        <f>Debug_power!$I10</f>
        <v>104.092</v>
      </c>
      <c r="I10" s="37">
        <f>Debug_power!$U10</f>
        <v>79.141000000000005</v>
      </c>
      <c r="J10" s="37">
        <f>Debug_power!$X10</f>
        <v>103.717</v>
      </c>
    </row>
    <row r="11" spans="1:10">
      <c r="A11" t="s">
        <v>107</v>
      </c>
      <c r="B11" s="37">
        <f>Debug_power!$F11</f>
        <v>-0.39500000000000002</v>
      </c>
      <c r="C11" s="37">
        <f>Debug_power!$C11</f>
        <v>2.153</v>
      </c>
      <c r="D11" s="37">
        <f>Debug_power!$R11</f>
        <v>9.08</v>
      </c>
      <c r="E11" s="37">
        <f>Debug_power!$AA11</f>
        <v>25</v>
      </c>
      <c r="F11" s="37">
        <f>Debug_power!$O11</f>
        <v>23.227</v>
      </c>
      <c r="G11" s="37">
        <f>Debug_power!$L11</f>
        <v>36.695999999999998</v>
      </c>
      <c r="H11" s="37">
        <f>Debug_power!$I11</f>
        <v>48.150999999999996</v>
      </c>
      <c r="I11" s="37">
        <f>Debug_power!$U11</f>
        <v>46.365000000000002</v>
      </c>
      <c r="J11" s="37">
        <f>Debug_power!$X11</f>
        <v>47.832000000000001</v>
      </c>
    </row>
    <row r="12" spans="1:10">
      <c r="A12" t="s">
        <v>108</v>
      </c>
      <c r="B12" s="37">
        <f>Debug_power!$F12</f>
        <v>1.2979999999999998</v>
      </c>
      <c r="C12" s="37">
        <f>Debug_power!$C12</f>
        <v>8.5760000000000005</v>
      </c>
      <c r="D12" s="37">
        <f>Debug_power!$R12</f>
        <v>34.467999999999996</v>
      </c>
      <c r="E12" s="37">
        <f>Debug_power!$AA12</f>
        <v>111</v>
      </c>
      <c r="F12" s="37">
        <f>Debug_power!$O12</f>
        <v>99.336999999999989</v>
      </c>
      <c r="G12" s="37">
        <f>Debug_power!$L12</f>
        <v>144.065</v>
      </c>
      <c r="H12" s="37">
        <f>Debug_power!$I12</f>
        <v>191.70599999999999</v>
      </c>
      <c r="I12" s="37">
        <f>Debug_power!$U12</f>
        <v>192.69200000000001</v>
      </c>
      <c r="J12" s="37">
        <f>Debug_power!$X12</f>
        <v>201.65299999999999</v>
      </c>
    </row>
    <row r="13" spans="1:10">
      <c r="A13" t="s">
        <v>109</v>
      </c>
      <c r="B13" s="37">
        <f>Debug_power!$F13</f>
        <v>0</v>
      </c>
      <c r="C13" s="37">
        <f>Debug_power!$C13</f>
        <v>4.0749999999999993</v>
      </c>
      <c r="D13" s="37">
        <f>Debug_power!$R13</f>
        <v>25.524999999999999</v>
      </c>
      <c r="E13" s="37">
        <f>Debug_power!$AA13</f>
        <v>1208</v>
      </c>
      <c r="F13" s="37">
        <f>Debug_power!$O13</f>
        <v>237.93200000000002</v>
      </c>
      <c r="G13" s="37">
        <f>Debug_power!$L13</f>
        <v>120.857</v>
      </c>
      <c r="H13" s="37">
        <f>Debug_power!$I13</f>
        <v>736.17700000000002</v>
      </c>
      <c r="I13" s="37">
        <f>Debug_power!$U13</f>
        <v>299.57</v>
      </c>
      <c r="J13" s="37">
        <f>Debug_power!$X13</f>
        <v>659.34800000000007</v>
      </c>
    </row>
    <row r="14" spans="1:10">
      <c r="A14" t="s">
        <v>110</v>
      </c>
      <c r="B14" s="37">
        <f>Debug_power!$F14</f>
        <v>0</v>
      </c>
      <c r="C14" s="37">
        <f>Debug_power!$C14</f>
        <v>7.0000000000000001E-3</v>
      </c>
      <c r="D14" s="37">
        <f>Debug_power!$R14</f>
        <v>7.0000000000000001E-3</v>
      </c>
      <c r="E14" s="37">
        <f>Debug_power!$AA14</f>
        <v>76</v>
      </c>
      <c r="F14" s="37">
        <f>Debug_power!$O14</f>
        <v>48.550000000000004</v>
      </c>
      <c r="G14" s="37">
        <f>Debug_power!$L14</f>
        <v>2.9239999999999999</v>
      </c>
      <c r="H14" s="37">
        <f>Debug_power!$I14</f>
        <v>14.061999999999999</v>
      </c>
      <c r="I14" s="37">
        <f>Debug_power!$U14</f>
        <v>7.4390000000000001</v>
      </c>
      <c r="J14" s="37">
        <f>Debug_power!$X14</f>
        <v>14.158999999999999</v>
      </c>
    </row>
    <row r="15" spans="1:10">
      <c r="A15" t="s">
        <v>111</v>
      </c>
      <c r="B15" s="37">
        <f>Debug_power!$F15</f>
        <v>0</v>
      </c>
      <c r="C15" s="37">
        <f>Debug_power!$C15</f>
        <v>26.344999999999999</v>
      </c>
      <c r="D15" s="37">
        <f>Debug_power!$R15</f>
        <v>123.88000000000001</v>
      </c>
      <c r="E15" s="37">
        <f>Debug_power!$AA15</f>
        <v>557</v>
      </c>
      <c r="F15" s="37">
        <f>Debug_power!$O15</f>
        <v>462.33100000000002</v>
      </c>
      <c r="G15" s="37">
        <f>Debug_power!$L15</f>
        <v>782.78599999999994</v>
      </c>
      <c r="H15" s="37">
        <f>Debug_power!$I15</f>
        <v>808.53</v>
      </c>
      <c r="I15" s="37">
        <f>Debug_power!$U15</f>
        <v>1101.0249999999999</v>
      </c>
      <c r="J15" s="37">
        <f>Debug_power!$X15</f>
        <v>952.67399999999998</v>
      </c>
    </row>
    <row r="16" spans="1:10">
      <c r="A16" t="s">
        <v>112</v>
      </c>
      <c r="B16" s="37">
        <f>Debug_power!$F16</f>
        <v>114.943</v>
      </c>
      <c r="C16" s="37">
        <f>Debug_power!$C16</f>
        <v>229.04300000000001</v>
      </c>
      <c r="D16" s="37">
        <f>Debug_power!$R16</f>
        <v>616.79200000000003</v>
      </c>
      <c r="E16" s="37">
        <f>Debug_power!$AA16</f>
        <v>3129</v>
      </c>
      <c r="F16" s="37">
        <f>Debug_power!$O16</f>
        <v>1719.9869999999999</v>
      </c>
      <c r="G16" s="37">
        <f>Debug_power!$L16</f>
        <v>1947.0890000000002</v>
      </c>
      <c r="H16" s="37">
        <f>Debug_power!$I16</f>
        <v>3160.5509999999999</v>
      </c>
      <c r="I16" s="37">
        <f>Debug_power!$U16</f>
        <v>3052.9079999999999</v>
      </c>
      <c r="J16" s="37">
        <f>Debug_power!$X16</f>
        <v>3432.4949999999999</v>
      </c>
    </row>
    <row r="18" spans="1:10">
      <c r="A18" t="s">
        <v>113</v>
      </c>
    </row>
    <row r="19" spans="1:10" ht="15" customHeight="1">
      <c r="B19" t="s">
        <v>45</v>
      </c>
      <c r="C19" t="s">
        <v>43</v>
      </c>
      <c r="D19" t="s">
        <v>49</v>
      </c>
      <c r="E19" t="s">
        <v>52</v>
      </c>
      <c r="F19" t="s">
        <v>48</v>
      </c>
      <c r="G19" t="s">
        <v>47</v>
      </c>
      <c r="H19" t="s">
        <v>46</v>
      </c>
      <c r="I19" t="s">
        <v>50</v>
      </c>
      <c r="J19" t="s">
        <v>51</v>
      </c>
    </row>
    <row r="20" spans="1:10">
      <c r="A20" t="s">
        <v>114</v>
      </c>
      <c r="B20" s="37">
        <f>Debug_power!$E4</f>
        <v>0</v>
      </c>
      <c r="C20" s="37">
        <f>Debug_power!$B4</f>
        <v>4.9800000000000004</v>
      </c>
      <c r="D20" s="37">
        <f>Debug_power!$Q4</f>
        <v>17.54</v>
      </c>
      <c r="E20" s="37">
        <f>Debug_power!$Z4</f>
        <v>333.8</v>
      </c>
      <c r="F20" s="37">
        <f>Debug_power!$N4</f>
        <v>223.63319999999999</v>
      </c>
      <c r="G20" s="37">
        <f>Debug_power!$K4</f>
        <v>155</v>
      </c>
      <c r="H20" s="37">
        <f>Debug_power!$H4</f>
        <v>74.813999999999993</v>
      </c>
      <c r="I20" s="37">
        <f>Debug_power!$T4</f>
        <v>15.86</v>
      </c>
      <c r="J20" s="37">
        <f>Debug_power!$W4</f>
        <v>480.32</v>
      </c>
    </row>
    <row r="21" spans="1:10">
      <c r="A21" t="s">
        <v>115</v>
      </c>
      <c r="B21" s="37">
        <f>Debug_power!$E5</f>
        <v>1.76</v>
      </c>
      <c r="C21" s="37">
        <f>Debug_power!$B5</f>
        <v>14.51</v>
      </c>
      <c r="D21" s="37">
        <f>Debug_power!$Q5</f>
        <v>35.659999999999997</v>
      </c>
      <c r="E21" s="37">
        <f>Debug_power!$Z5</f>
        <v>122.14</v>
      </c>
      <c r="F21" s="37">
        <f>Debug_power!$N5</f>
        <v>123.76949999999999</v>
      </c>
      <c r="G21" s="37">
        <f>Debug_power!$K5</f>
        <v>112</v>
      </c>
      <c r="H21" s="37">
        <f>Debug_power!$H5</f>
        <v>112.0771</v>
      </c>
      <c r="I21" s="37">
        <f>Debug_power!$T5</f>
        <v>186.64</v>
      </c>
      <c r="J21" s="37">
        <f>Debug_power!$W5</f>
        <v>193.15</v>
      </c>
    </row>
    <row r="22" spans="1:10" ht="15" customHeight="1">
      <c r="A22" t="s">
        <v>116</v>
      </c>
      <c r="B22" s="37">
        <f>Debug_power!$E6</f>
        <v>45.92</v>
      </c>
      <c r="C22" s="37">
        <f>Debug_power!$B6</f>
        <v>73.17</v>
      </c>
      <c r="D22" s="37">
        <f>Debug_power!$Q6</f>
        <v>149.63999999999999</v>
      </c>
      <c r="E22" s="37">
        <f>Debug_power!$Z6</f>
        <v>348.46</v>
      </c>
      <c r="F22" s="37">
        <f>Debug_power!$N6</f>
        <v>362.97</v>
      </c>
      <c r="G22" s="37">
        <f>Debug_power!$K6</f>
        <v>363</v>
      </c>
      <c r="H22" s="37">
        <f>Debug_power!$H6</f>
        <v>297.20999999999998</v>
      </c>
      <c r="I22" s="37">
        <f>Debug_power!$T6</f>
        <v>537.20000000000005</v>
      </c>
      <c r="J22" s="37">
        <f>Debug_power!$W6</f>
        <v>536.51</v>
      </c>
    </row>
    <row r="23" spans="1:10">
      <c r="A23" t="s">
        <v>117</v>
      </c>
      <c r="B23" s="37">
        <f>Debug_power!$E7</f>
        <v>4.0999999999999996</v>
      </c>
      <c r="C23" s="37">
        <f>Debug_power!$B7</f>
        <v>4.2300000000000004</v>
      </c>
      <c r="D23" s="37">
        <f>Debug_power!$Q7</f>
        <v>4.9400000000000004</v>
      </c>
      <c r="E23" s="37">
        <f>Debug_power!$Z7</f>
        <v>12.87</v>
      </c>
      <c r="F23" s="37">
        <f>Debug_power!$N7</f>
        <v>6.69</v>
      </c>
      <c r="G23" s="37">
        <f>Debug_power!$K7</f>
        <v>51</v>
      </c>
      <c r="H23" s="37">
        <f>Debug_power!$H7</f>
        <v>5.26</v>
      </c>
      <c r="I23" s="37">
        <f>Debug_power!$T7</f>
        <v>6.76</v>
      </c>
      <c r="J23" s="37">
        <f>Debug_power!$W7</f>
        <v>6.15</v>
      </c>
    </row>
    <row r="24" spans="1:10">
      <c r="A24" t="s">
        <v>118</v>
      </c>
      <c r="B24" s="37">
        <f>Debug_power!$E8</f>
        <v>0.05</v>
      </c>
      <c r="C24" s="37">
        <f>Debug_power!$B8</f>
        <v>0.05</v>
      </c>
      <c r="D24" s="37">
        <f>Debug_power!$Q8</f>
        <v>0.05</v>
      </c>
      <c r="E24" s="37">
        <f>Debug_power!$Z8</f>
        <v>0.05</v>
      </c>
      <c r="F24" s="37">
        <f>Debug_power!$N8</f>
        <v>0.05</v>
      </c>
      <c r="G24" s="37">
        <f>Debug_power!$K8</f>
        <v>0.05</v>
      </c>
      <c r="H24" s="37">
        <f>Debug_power!$H8</f>
        <v>0.05</v>
      </c>
      <c r="I24" s="37">
        <f>Debug_power!$T8</f>
        <v>0.05</v>
      </c>
      <c r="J24" s="37">
        <f>Debug_power!$W8</f>
        <v>0.05</v>
      </c>
    </row>
    <row r="25" spans="1:10" ht="15" customHeight="1">
      <c r="A25" t="s">
        <v>119</v>
      </c>
      <c r="B25" s="37">
        <f>Debug_power!$E9</f>
        <v>0</v>
      </c>
      <c r="C25" s="37">
        <f>Debug_power!$B9</f>
        <v>0</v>
      </c>
      <c r="D25" s="37">
        <f>Debug_power!$Q9</f>
        <v>0</v>
      </c>
      <c r="E25" s="37">
        <f>Debug_power!$Z9</f>
        <v>0</v>
      </c>
      <c r="F25" s="37">
        <f>Debug_power!$N9</f>
        <v>0</v>
      </c>
      <c r="G25" s="37">
        <f>Debug_power!$K9</f>
        <v>0</v>
      </c>
      <c r="H25" s="37">
        <f>Debug_power!$H9</f>
        <v>0</v>
      </c>
      <c r="I25" s="37">
        <f>Debug_power!$T9</f>
        <v>0</v>
      </c>
      <c r="J25" s="37">
        <f>Debug_power!$W9</f>
        <v>0</v>
      </c>
    </row>
    <row r="26" spans="1:10">
      <c r="A26" t="s">
        <v>120</v>
      </c>
      <c r="B26" s="37">
        <f>Debug_power!$E10</f>
        <v>0</v>
      </c>
      <c r="C26" s="37">
        <f>Debug_power!$B10</f>
        <v>0</v>
      </c>
      <c r="D26" s="37">
        <f>Debug_power!$Q10</f>
        <v>0</v>
      </c>
      <c r="E26" s="37">
        <f>Debug_power!$Z10</f>
        <v>0</v>
      </c>
      <c r="F26" s="37">
        <f>Debug_power!$N10</f>
        <v>0</v>
      </c>
      <c r="G26" s="37">
        <f>Debug_power!$K10</f>
        <v>0</v>
      </c>
      <c r="H26" s="37">
        <f>Debug_power!$H10</f>
        <v>0</v>
      </c>
      <c r="I26" s="37">
        <f>Debug_power!$T10</f>
        <v>0</v>
      </c>
      <c r="J26" s="37">
        <f>Debug_power!$W10</f>
        <v>0</v>
      </c>
    </row>
    <row r="27" spans="1:10">
      <c r="A27" t="s">
        <v>121</v>
      </c>
      <c r="B27" s="37">
        <f>Debug_power!$E11</f>
        <v>0</v>
      </c>
      <c r="C27" s="37">
        <f>Debug_power!$B11</f>
        <v>3.33</v>
      </c>
      <c r="D27" s="37">
        <f>Debug_power!$Q11</f>
        <v>4.7300000000000004</v>
      </c>
      <c r="E27" s="37">
        <f>Debug_power!$Z11</f>
        <v>59.62</v>
      </c>
      <c r="F27" s="37">
        <f>Debug_power!$N11</f>
        <v>50.879899999999999</v>
      </c>
      <c r="G27" s="37">
        <f>Debug_power!$K11</f>
        <v>47</v>
      </c>
      <c r="H27" s="37">
        <f>Debug_power!$H11</f>
        <v>23.48</v>
      </c>
      <c r="I27" s="37">
        <f>Debug_power!$T11</f>
        <v>60.89</v>
      </c>
      <c r="J27" s="37">
        <f>Debug_power!$W11</f>
        <v>53.44</v>
      </c>
    </row>
    <row r="28" spans="1:10" ht="15" customHeight="1">
      <c r="A28" t="s">
        <v>122</v>
      </c>
      <c r="B28" s="37">
        <f>Debug_power!$E12</f>
        <v>0.87</v>
      </c>
      <c r="C28" s="37">
        <f>Debug_power!$B12</f>
        <v>16.399999999999999</v>
      </c>
      <c r="D28" s="37">
        <f>Debug_power!$Q12</f>
        <v>29.61</v>
      </c>
      <c r="E28" s="37">
        <f>Debug_power!$Z12</f>
        <v>187.73</v>
      </c>
      <c r="F28" s="37">
        <f>Debug_power!$N12</f>
        <v>169.60429999999999</v>
      </c>
      <c r="G28" s="37">
        <f>Debug_power!$K12</f>
        <v>217</v>
      </c>
      <c r="H28" s="37">
        <f>Debug_power!$H12</f>
        <v>87.012299999999996</v>
      </c>
      <c r="I28" s="37">
        <f>Debug_power!$T12</f>
        <v>268.76</v>
      </c>
      <c r="J28" s="37">
        <f>Debug_power!$W12</f>
        <v>278.39999999999998</v>
      </c>
    </row>
    <row r="29" spans="1:10">
      <c r="A29" t="s">
        <v>123</v>
      </c>
      <c r="B29" s="37">
        <f>Debug_power!$E13</f>
        <v>0</v>
      </c>
      <c r="C29" s="37">
        <f>Debug_power!$B13</f>
        <v>0</v>
      </c>
      <c r="D29" s="37">
        <f>Debug_power!$Q13</f>
        <v>17.54</v>
      </c>
      <c r="E29" s="37">
        <f>Debug_power!$Z13</f>
        <v>378.85</v>
      </c>
      <c r="F29" s="37">
        <f>Debug_power!$N13</f>
        <v>19.38</v>
      </c>
      <c r="G29" s="37">
        <f>Debug_power!$K13</f>
        <v>3</v>
      </c>
      <c r="H29" s="37">
        <f>Debug_power!$H13</f>
        <v>0</v>
      </c>
      <c r="I29" s="37">
        <f>Debug_power!$T13</f>
        <v>15.86</v>
      </c>
      <c r="J29" s="37">
        <f>Debug_power!$W13</f>
        <v>6.25</v>
      </c>
    </row>
    <row r="30" spans="1:10">
      <c r="A30" t="s">
        <v>124</v>
      </c>
      <c r="B30" s="37">
        <f>Debug_power!$E14</f>
        <v>0</v>
      </c>
      <c r="C30" s="37">
        <f>Debug_power!$B14</f>
        <v>0</v>
      </c>
      <c r="D30" s="37">
        <f>Debug_power!$Q14</f>
        <v>0</v>
      </c>
      <c r="E30" s="37">
        <f>Debug_power!$Z14</f>
        <v>33.24</v>
      </c>
      <c r="F30" s="37">
        <f>Debug_power!$N14</f>
        <v>16.973700000000001</v>
      </c>
      <c r="G30" s="37">
        <f>Debug_power!$K14</f>
        <v>0.39</v>
      </c>
      <c r="H30" s="37">
        <f>Debug_power!$H14</f>
        <v>0</v>
      </c>
      <c r="I30" s="37">
        <f>Debug_power!$T14</f>
        <v>45.15</v>
      </c>
      <c r="J30" s="37">
        <f>Debug_power!$W14</f>
        <v>46.1</v>
      </c>
    </row>
    <row r="31" spans="1:10" ht="15" customHeight="1">
      <c r="A31" t="s">
        <v>125</v>
      </c>
      <c r="B31" s="37">
        <f>Debug_power!$E15</f>
        <v>0.21</v>
      </c>
      <c r="C31" s="37">
        <f>Debug_power!$B15</f>
        <v>53.86</v>
      </c>
      <c r="D31" s="37">
        <f>Debug_power!$Q15</f>
        <v>114.59</v>
      </c>
      <c r="E31" s="37">
        <f>Debug_power!$Z15</f>
        <v>406.84</v>
      </c>
      <c r="F31" s="37">
        <f>Debug_power!$N15</f>
        <v>445.89319999999998</v>
      </c>
      <c r="G31" s="37">
        <f>Debug_power!$K15</f>
        <v>458</v>
      </c>
      <c r="H31" s="37">
        <f>Debug_power!$H15</f>
        <v>385.5883</v>
      </c>
      <c r="I31" s="37">
        <f>Debug_power!$T15</f>
        <v>657.63</v>
      </c>
      <c r="J31" s="37">
        <f>Debug_power!$W15</f>
        <v>948.36</v>
      </c>
    </row>
    <row r="32" spans="1:10">
      <c r="A32" t="s">
        <v>126</v>
      </c>
      <c r="B32" s="37">
        <f>Debug_power!$E16</f>
        <v>53</v>
      </c>
      <c r="C32" s="37">
        <f>Debug_power!$B16</f>
        <v>165</v>
      </c>
      <c r="D32" s="37">
        <f>Debug_power!$Q16</f>
        <v>359.53</v>
      </c>
      <c r="E32" s="37">
        <f>Debug_power!$Z16</f>
        <v>1744</v>
      </c>
      <c r="F32" s="37">
        <f>Debug_power!$N16</f>
        <v>1217</v>
      </c>
      <c r="G32" s="37">
        <f>Debug_power!$K16</f>
        <v>1406</v>
      </c>
      <c r="H32" s="37">
        <f>Debug_power!$H16</f>
        <v>829</v>
      </c>
      <c r="I32" s="37">
        <f>Debug_power!$T16</f>
        <v>2173</v>
      </c>
      <c r="J32" s="37">
        <f>Debug_power!$W16</f>
        <v>2414</v>
      </c>
    </row>
    <row r="34" ht="15" customHeight="1"/>
    <row r="37" ht="15" customHeight="1"/>
    <row r="40" ht="15" customHeight="1"/>
    <row r="43" ht="15" customHeigh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463A-EFD2-453B-897F-0B6DB78A15F6}">
  <dimension ref="A1:S12"/>
  <sheetViews>
    <sheetView workbookViewId="0">
      <selection activeCell="F17" sqref="F17"/>
    </sheetView>
  </sheetViews>
  <sheetFormatPr defaultRowHeight="14.45"/>
  <cols>
    <col min="1" max="1" width="26" customWidth="1"/>
  </cols>
  <sheetData>
    <row r="1" spans="1:19">
      <c r="A1" s="38" t="s">
        <v>127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>
      <c r="A2" s="38" t="s">
        <v>128</v>
      </c>
      <c r="B2" s="38"/>
      <c r="C2" s="38"/>
      <c r="D2" s="38"/>
      <c r="E2" s="38"/>
      <c r="F2" s="38"/>
      <c r="G2" s="38"/>
      <c r="H2" s="38"/>
      <c r="I2" s="38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1:19">
      <c r="A4" s="40" t="s">
        <v>129</v>
      </c>
      <c r="B4" s="69" t="s">
        <v>43</v>
      </c>
      <c r="C4" s="70"/>
      <c r="D4" s="41" t="s">
        <v>44</v>
      </c>
      <c r="E4" s="69" t="s">
        <v>45</v>
      </c>
      <c r="F4" s="70"/>
      <c r="G4" s="41" t="s">
        <v>130</v>
      </c>
      <c r="H4" s="69" t="s">
        <v>46</v>
      </c>
      <c r="I4" s="70"/>
      <c r="J4" s="41" t="s">
        <v>44</v>
      </c>
      <c r="K4" s="69" t="s">
        <v>47</v>
      </c>
      <c r="L4" s="70"/>
      <c r="M4" s="41" t="s">
        <v>44</v>
      </c>
      <c r="N4" s="69" t="s">
        <v>48</v>
      </c>
      <c r="O4" s="70"/>
      <c r="P4" s="42" t="s">
        <v>44</v>
      </c>
      <c r="Q4" s="69" t="s">
        <v>50</v>
      </c>
      <c r="R4" s="70"/>
      <c r="S4" s="42" t="s">
        <v>44</v>
      </c>
    </row>
    <row r="5" spans="1:19" ht="29.1">
      <c r="A5" s="43" t="s">
        <v>13</v>
      </c>
      <c r="B5" s="44" t="s">
        <v>53</v>
      </c>
      <c r="C5" s="44" t="s">
        <v>54</v>
      </c>
      <c r="D5" s="45" t="s">
        <v>55</v>
      </c>
      <c r="E5" s="44" t="s">
        <v>53</v>
      </c>
      <c r="F5" s="44" t="s">
        <v>54</v>
      </c>
      <c r="G5" s="45" t="s">
        <v>55</v>
      </c>
      <c r="H5" s="44" t="s">
        <v>53</v>
      </c>
      <c r="I5" s="44" t="s">
        <v>54</v>
      </c>
      <c r="J5" s="45" t="s">
        <v>55</v>
      </c>
      <c r="K5" s="44" t="s">
        <v>53</v>
      </c>
      <c r="L5" s="44" t="s">
        <v>54</v>
      </c>
      <c r="M5" s="44" t="s">
        <v>55</v>
      </c>
      <c r="N5" s="44" t="s">
        <v>53</v>
      </c>
      <c r="O5" s="44" t="s">
        <v>54</v>
      </c>
      <c r="P5" s="44" t="s">
        <v>55</v>
      </c>
      <c r="Q5" s="44" t="s">
        <v>53</v>
      </c>
      <c r="R5" s="44" t="s">
        <v>54</v>
      </c>
      <c r="S5" s="44" t="s">
        <v>55</v>
      </c>
    </row>
    <row r="6" spans="1:19">
      <c r="A6" s="46" t="s">
        <v>57</v>
      </c>
      <c r="B6" s="47">
        <v>14.51</v>
      </c>
      <c r="C6" s="47">
        <v>46.81</v>
      </c>
      <c r="D6" s="48">
        <v>3.23</v>
      </c>
      <c r="E6" s="47">
        <v>1.76</v>
      </c>
      <c r="F6" s="47">
        <v>9</v>
      </c>
      <c r="G6" s="48">
        <v>5.12</v>
      </c>
      <c r="H6" s="47">
        <v>112.08</v>
      </c>
      <c r="I6" s="47">
        <v>178.64</v>
      </c>
      <c r="J6" s="48">
        <v>1.59</v>
      </c>
      <c r="K6" s="47">
        <v>159.75</v>
      </c>
      <c r="L6" s="47">
        <v>144.77000000000001</v>
      </c>
      <c r="M6" s="49">
        <v>0.91</v>
      </c>
      <c r="N6" s="47">
        <v>123.77</v>
      </c>
      <c r="O6" s="47">
        <v>186.78</v>
      </c>
      <c r="P6" s="48">
        <v>1.51</v>
      </c>
      <c r="Q6" s="47">
        <v>186.64</v>
      </c>
      <c r="R6" s="47">
        <v>305.35000000000002</v>
      </c>
      <c r="S6" s="48">
        <v>1.64</v>
      </c>
    </row>
    <row r="7" spans="1:19">
      <c r="A7" s="46" t="s">
        <v>58</v>
      </c>
      <c r="B7" s="47">
        <v>73.17</v>
      </c>
      <c r="C7" s="47">
        <v>180.54</v>
      </c>
      <c r="D7" s="48">
        <v>2.4700000000000002</v>
      </c>
      <c r="E7" s="47">
        <v>45.92</v>
      </c>
      <c r="F7" s="50">
        <v>102.03</v>
      </c>
      <c r="G7" s="48">
        <v>2.2200000000000002</v>
      </c>
      <c r="H7" s="47">
        <v>297.20999999999998</v>
      </c>
      <c r="I7" s="47">
        <v>810.3</v>
      </c>
      <c r="J7" s="48">
        <v>2.73</v>
      </c>
      <c r="K7" s="47">
        <v>368.3</v>
      </c>
      <c r="L7" s="47">
        <v>468.57</v>
      </c>
      <c r="M7" s="49">
        <v>1.27</v>
      </c>
      <c r="N7" s="47">
        <v>362.97</v>
      </c>
      <c r="O7" s="47">
        <v>532.63</v>
      </c>
      <c r="P7" s="48">
        <v>1.47</v>
      </c>
      <c r="Q7" s="47">
        <v>537.20000000000005</v>
      </c>
      <c r="R7" s="47">
        <v>788.45</v>
      </c>
      <c r="S7" s="48">
        <v>1.47</v>
      </c>
    </row>
    <row r="8" spans="1:19">
      <c r="A8" s="46" t="s">
        <v>59</v>
      </c>
      <c r="B8" s="47">
        <v>4.2300000000000004</v>
      </c>
      <c r="C8" s="47">
        <v>0.56000000000000005</v>
      </c>
      <c r="D8" s="49">
        <v>0.13</v>
      </c>
      <c r="E8" s="47">
        <v>4.0999999999999996</v>
      </c>
      <c r="F8" s="47">
        <v>0.36</v>
      </c>
      <c r="G8" s="49">
        <v>0.09</v>
      </c>
      <c r="H8" s="47">
        <v>5.26</v>
      </c>
      <c r="I8" s="47">
        <v>0.97</v>
      </c>
      <c r="J8" s="49">
        <v>0.18</v>
      </c>
      <c r="K8" s="47">
        <v>5.38</v>
      </c>
      <c r="L8" s="47">
        <v>0.95</v>
      </c>
      <c r="M8" s="49">
        <v>0.18</v>
      </c>
      <c r="N8" s="47">
        <v>6.69</v>
      </c>
      <c r="O8" s="47">
        <v>0.94</v>
      </c>
      <c r="P8" s="49">
        <v>0.14000000000000001</v>
      </c>
      <c r="Q8" s="47">
        <v>6.76</v>
      </c>
      <c r="R8" s="47">
        <v>8.5500000000000007</v>
      </c>
      <c r="S8" s="49">
        <v>1.27</v>
      </c>
    </row>
    <row r="9" spans="1:19">
      <c r="A9" s="46" t="s">
        <v>60</v>
      </c>
      <c r="B9" s="47">
        <v>0.05</v>
      </c>
      <c r="C9" s="47">
        <v>-0.1</v>
      </c>
      <c r="D9" s="49">
        <v>-1.92</v>
      </c>
      <c r="E9" s="47">
        <v>0.05</v>
      </c>
      <c r="F9" s="50">
        <v>-0.09</v>
      </c>
      <c r="G9" s="49">
        <v>-1.82</v>
      </c>
      <c r="H9" s="47">
        <v>0.05</v>
      </c>
      <c r="I9" s="47">
        <v>-0.14000000000000001</v>
      </c>
      <c r="J9" s="49">
        <v>-2.76</v>
      </c>
      <c r="K9" s="47">
        <v>0.05</v>
      </c>
      <c r="L9" s="47">
        <v>-0.11</v>
      </c>
      <c r="M9" s="49">
        <v>-2.12</v>
      </c>
      <c r="N9" s="47">
        <v>0.05</v>
      </c>
      <c r="O9" s="47">
        <v>-0.12</v>
      </c>
      <c r="P9" s="49">
        <v>-2.3199999999999998</v>
      </c>
      <c r="Q9" s="47">
        <v>0.05</v>
      </c>
      <c r="R9" s="47">
        <v>0.13</v>
      </c>
      <c r="S9" s="48">
        <v>2.62</v>
      </c>
    </row>
    <row r="10" spans="1:19">
      <c r="A10" s="46" t="s">
        <v>61</v>
      </c>
      <c r="B10" s="47" t="s">
        <v>130</v>
      </c>
      <c r="C10" s="47">
        <v>0.63</v>
      </c>
      <c r="D10" s="51" t="s">
        <v>130</v>
      </c>
      <c r="E10" s="47" t="s">
        <v>130</v>
      </c>
      <c r="F10" s="47">
        <v>0.55000000000000004</v>
      </c>
      <c r="G10" s="51" t="s">
        <v>130</v>
      </c>
      <c r="H10" s="47" t="s">
        <v>130</v>
      </c>
      <c r="I10" s="47">
        <v>0.82</v>
      </c>
      <c r="J10" s="51" t="s">
        <v>130</v>
      </c>
      <c r="K10" s="47" t="s">
        <v>130</v>
      </c>
      <c r="L10" s="47">
        <v>1.05</v>
      </c>
      <c r="M10" s="51" t="s">
        <v>130</v>
      </c>
      <c r="N10" s="47" t="s">
        <v>130</v>
      </c>
      <c r="O10" s="47">
        <v>0.99</v>
      </c>
      <c r="P10" s="51" t="s">
        <v>130</v>
      </c>
      <c r="Q10" s="47" t="s">
        <v>130</v>
      </c>
      <c r="R10" s="47">
        <v>0.93</v>
      </c>
      <c r="S10" s="47" t="e">
        <v>#DIV/0!</v>
      </c>
    </row>
    <row r="11" spans="1:19">
      <c r="A11" s="46" t="s">
        <v>62</v>
      </c>
      <c r="B11" s="47" t="s">
        <v>130</v>
      </c>
      <c r="C11" s="47">
        <v>0.61</v>
      </c>
      <c r="D11" s="51" t="s">
        <v>130</v>
      </c>
      <c r="E11" s="47" t="s">
        <v>130</v>
      </c>
      <c r="F11" s="47">
        <v>0.42</v>
      </c>
      <c r="G11" s="51" t="s">
        <v>130</v>
      </c>
      <c r="H11" s="47" t="s">
        <v>130</v>
      </c>
      <c r="I11" s="47">
        <v>2.79</v>
      </c>
      <c r="J11" s="51" t="s">
        <v>130</v>
      </c>
      <c r="K11" s="47" t="s">
        <v>130</v>
      </c>
      <c r="L11" s="47">
        <v>1.52</v>
      </c>
      <c r="M11" s="51" t="s">
        <v>130</v>
      </c>
      <c r="N11" s="47" t="s">
        <v>130</v>
      </c>
      <c r="O11" s="47">
        <v>1.73</v>
      </c>
      <c r="P11" s="51" t="s">
        <v>130</v>
      </c>
      <c r="Q11" s="47" t="s">
        <v>130</v>
      </c>
      <c r="R11" s="47">
        <v>2.44</v>
      </c>
      <c r="S11" s="47" t="e">
        <v>#DIV/0!</v>
      </c>
    </row>
    <row r="12" spans="1:19">
      <c r="A12" s="46" t="s">
        <v>131</v>
      </c>
      <c r="B12" s="52">
        <v>91.96</v>
      </c>
      <c r="C12" s="52">
        <v>229.05</v>
      </c>
      <c r="D12" s="52" t="s">
        <v>130</v>
      </c>
      <c r="E12" s="52">
        <v>51.83</v>
      </c>
      <c r="F12" s="52">
        <v>112.27</v>
      </c>
      <c r="G12" s="52" t="s">
        <v>130</v>
      </c>
      <c r="H12" s="52">
        <v>414.6</v>
      </c>
      <c r="I12" s="52">
        <v>993.38</v>
      </c>
      <c r="J12" s="52" t="s">
        <v>130</v>
      </c>
      <c r="K12" s="52">
        <v>533.48</v>
      </c>
      <c r="L12" s="52">
        <v>616.75</v>
      </c>
      <c r="M12" s="52" t="s">
        <v>130</v>
      </c>
      <c r="N12" s="52">
        <v>493.48</v>
      </c>
      <c r="O12" s="52">
        <v>722.95</v>
      </c>
      <c r="P12" s="52" t="s">
        <v>130</v>
      </c>
      <c r="Q12" s="52">
        <v>730.65</v>
      </c>
      <c r="R12" s="52">
        <v>1105.8499999999999</v>
      </c>
      <c r="S12" s="52" t="s">
        <v>130</v>
      </c>
    </row>
  </sheetData>
  <mergeCells count="6">
    <mergeCell ref="Q4:R4"/>
    <mergeCell ref="B4:C4"/>
    <mergeCell ref="E4:F4"/>
    <mergeCell ref="H4:I4"/>
    <mergeCell ref="K4:L4"/>
    <mergeCell ref="N4:O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a0e94f-b34e-4773-ae3e-5b9ed137b1e5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0D91A10F2B8B449C9B4AFAF40415EF" ma:contentTypeVersion="18" ma:contentTypeDescription="Create a new document." ma:contentTypeScope="" ma:versionID="e1f9a8fa08df73298bcd7b9e2b4bf2ac">
  <xsd:schema xmlns:xsd="http://www.w3.org/2001/XMLSchema" xmlns:xs="http://www.w3.org/2001/XMLSchema" xmlns:p="http://schemas.microsoft.com/office/2006/metadata/properties" xmlns:ns2="63a0e94f-b34e-4773-ae3e-5b9ed137b1e5" xmlns:ns3="afb9eb76-72c7-4413-b4d3-a718690aa2d8" xmlns:ns4="a7bc6c04-a6f3-4b85-abcc-278c78dc556b" targetNamespace="http://schemas.microsoft.com/office/2006/metadata/properties" ma:root="true" ma:fieldsID="f0e41f3b3bbafb8629e354296852d6b7" ns2:_="" ns3:_="" ns4:_="">
    <xsd:import namespace="63a0e94f-b34e-4773-ae3e-5b9ed137b1e5"/>
    <xsd:import namespace="afb9eb76-72c7-4413-b4d3-a718690aa2d8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0e94f-b34e-4773-ae3e-5b9ed137b1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9eb76-72c7-4413-b4d3-a718690aa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4a4429f-7ae1-4543-a97a-6064adcb6f31}" ma:internalName="TaxCatchAll" ma:showField="CatchAllData" ma:web="afb9eb76-72c7-4413-b4d3-a718690aa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8EF3A-E83D-4894-ACA7-E564A1E1C92E}"/>
</file>

<file path=customXml/itemProps2.xml><?xml version="1.0" encoding="utf-8"?>
<ds:datastoreItem xmlns:ds="http://schemas.openxmlformats.org/officeDocument/2006/customXml" ds:itemID="{3161B8C3-C9DB-4D58-A711-0E77E4C61765}"/>
</file>

<file path=customXml/itemProps3.xml><?xml version="1.0" encoding="utf-8"?>
<ds:datastoreItem xmlns:ds="http://schemas.openxmlformats.org/officeDocument/2006/customXml" ds:itemID="{17C75B4E-B83F-4DF5-8DBC-8039D459A7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2026-01-23T02:55:46Z</dcterms:created>
  <dcterms:modified xsi:type="dcterms:W3CDTF">2026-04-10T02:43:23Z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0x010100A90D91A10F2B8B449C9B4AFAF40415EF</vt:lpwstr>
  </property>
  <property fmtid="{D5CDD505-2E9C-101B-9397-08002B2CF9AE}" pid="3" name="MediaServiceImageTags">
    <vt:lpwstr/>
  </property>
</Properties>
</file>