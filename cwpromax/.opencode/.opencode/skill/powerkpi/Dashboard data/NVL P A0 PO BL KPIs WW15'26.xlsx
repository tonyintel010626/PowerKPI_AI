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applications.ai.ocode.market.skills\.opencode\skill\powerkpi\Dashboard data\"/>
    </mc:Choice>
  </mc:AlternateContent>
  <xr:revisionPtr revIDLastSave="0" documentId="13_ncr:1_{297A2CFB-BC8D-49BF-9997-F46B476D7C29}" xr6:coauthVersionLast="36" xr6:coauthVersionMax="47" xr10:uidLastSave="{00000000-0000-0000-0000-000000000000}"/>
  <bookViews>
    <workbookView xWindow="0" yWindow="0" windowWidth="28800" windowHeight="11775" firstSheet="1" activeTab="1" xr2:uid="{00000000-000D-0000-FFFF-FFFF00000000}"/>
  </bookViews>
  <sheets>
    <sheet name="WW15_NVL P" sheetId="1" r:id="rId1"/>
    <sheet name="PowerRails" sheetId="2" r:id="rId2"/>
    <sheet name="OneVoice-Q1_2025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62" i="2" l="1"/>
  <c r="V62" i="2"/>
  <c r="S62" i="2"/>
  <c r="P62" i="2"/>
  <c r="M62" i="2"/>
  <c r="J62" i="2"/>
  <c r="G62" i="2"/>
  <c r="D62" i="2"/>
  <c r="Y61" i="2"/>
  <c r="V61" i="2"/>
  <c r="S61" i="2"/>
  <c r="P61" i="2"/>
  <c r="M61" i="2"/>
  <c r="J61" i="2"/>
  <c r="G61" i="2"/>
  <c r="D61" i="2"/>
  <c r="Y60" i="2"/>
  <c r="V60" i="2"/>
  <c r="S60" i="2"/>
  <c r="P60" i="2"/>
  <c r="M60" i="2"/>
  <c r="Y59" i="2"/>
  <c r="V59" i="2"/>
  <c r="S59" i="2"/>
  <c r="P59" i="2"/>
  <c r="M59" i="2"/>
  <c r="Y58" i="2"/>
  <c r="V58" i="2"/>
  <c r="S58" i="2"/>
  <c r="P58" i="2"/>
  <c r="M58" i="2"/>
  <c r="J58" i="2"/>
  <c r="G58" i="2"/>
  <c r="D58" i="2"/>
  <c r="Y57" i="2"/>
  <c r="V57" i="2"/>
  <c r="S57" i="2"/>
  <c r="P57" i="2"/>
  <c r="M57" i="2"/>
  <c r="J57" i="2"/>
  <c r="D57" i="2"/>
  <c r="Y54" i="2"/>
  <c r="V54" i="2"/>
  <c r="S54" i="2"/>
  <c r="P54" i="2"/>
  <c r="M54" i="2"/>
  <c r="J54" i="2"/>
  <c r="G54" i="2"/>
  <c r="D54" i="2"/>
  <c r="Y53" i="2"/>
  <c r="V53" i="2"/>
  <c r="S53" i="2"/>
  <c r="P53" i="2"/>
  <c r="M53" i="2"/>
  <c r="J53" i="2"/>
  <c r="G53" i="2"/>
  <c r="D53" i="2"/>
  <c r="Y52" i="2"/>
  <c r="V52" i="2"/>
  <c r="S52" i="2"/>
  <c r="P52" i="2"/>
  <c r="M52" i="2"/>
  <c r="J52" i="2"/>
  <c r="G52" i="2"/>
  <c r="D52" i="2"/>
  <c r="Y51" i="2"/>
  <c r="V51" i="2"/>
  <c r="S51" i="2"/>
  <c r="P51" i="2"/>
  <c r="M51" i="2"/>
  <c r="J51" i="2"/>
  <c r="G51" i="2"/>
  <c r="D51" i="2"/>
  <c r="Y50" i="2"/>
  <c r="V50" i="2"/>
  <c r="S50" i="2"/>
  <c r="P50" i="2"/>
  <c r="M50" i="2"/>
  <c r="J50" i="2"/>
  <c r="D50" i="2"/>
  <c r="D34" i="1"/>
  <c r="F33" i="1"/>
  <c r="D33" i="1"/>
  <c r="F32" i="1"/>
  <c r="D32" i="1"/>
  <c r="F31" i="1"/>
  <c r="D31" i="1"/>
  <c r="F30" i="1"/>
  <c r="D30" i="1"/>
  <c r="F29" i="1"/>
  <c r="D29" i="1"/>
  <c r="F28" i="1"/>
  <c r="D28" i="1"/>
  <c r="F27" i="1"/>
  <c r="F26" i="1"/>
  <c r="D26" i="1"/>
  <c r="F20" i="1"/>
  <c r="F21" i="1"/>
  <c r="D21" i="1"/>
  <c r="Y31" i="2"/>
  <c r="Y30" i="2"/>
  <c r="Y29" i="2"/>
  <c r="Y28" i="2"/>
  <c r="Y27" i="2"/>
  <c r="Y26" i="2"/>
  <c r="Y23" i="2"/>
  <c r="Y22" i="2"/>
  <c r="Y21" i="2"/>
  <c r="Y20" i="2"/>
  <c r="Y19" i="2"/>
  <c r="F15" i="1"/>
  <c r="V31" i="2"/>
  <c r="V30" i="2"/>
  <c r="V29" i="2"/>
  <c r="V28" i="2"/>
  <c r="V27" i="2"/>
  <c r="V26" i="2"/>
  <c r="V23" i="2"/>
  <c r="V22" i="2"/>
  <c r="V21" i="2"/>
  <c r="V20" i="2"/>
  <c r="V19" i="2"/>
  <c r="F19" i="1"/>
  <c r="F18" i="1"/>
  <c r="F17" i="1"/>
  <c r="F16" i="1"/>
  <c r="F14" i="1"/>
  <c r="D22" i="1"/>
  <c r="D20" i="1"/>
  <c r="D19" i="1"/>
  <c r="D18" i="1"/>
  <c r="D17" i="1"/>
  <c r="D16" i="1"/>
  <c r="D14" i="1"/>
  <c r="P23" i="2"/>
  <c r="S31" i="2"/>
  <c r="S30" i="2"/>
  <c r="S29" i="2"/>
  <c r="S28" i="2"/>
  <c r="S27" i="2"/>
  <c r="S26" i="2"/>
  <c r="S23" i="2"/>
  <c r="S22" i="2"/>
  <c r="S21" i="2"/>
  <c r="S20" i="2"/>
  <c r="S19" i="2"/>
  <c r="P31" i="2"/>
  <c r="P30" i="2"/>
  <c r="P29" i="2"/>
  <c r="P28" i="2"/>
  <c r="P27" i="2"/>
  <c r="P26" i="2"/>
  <c r="P22" i="2"/>
  <c r="P21" i="2"/>
  <c r="P20" i="2"/>
  <c r="P19" i="2"/>
  <c r="M31" i="2"/>
  <c r="M30" i="2"/>
  <c r="M29" i="2"/>
  <c r="M28" i="2"/>
  <c r="M27" i="2"/>
  <c r="M26" i="2"/>
  <c r="M23" i="2"/>
  <c r="M22" i="2"/>
  <c r="M21" i="2"/>
  <c r="M20" i="2"/>
  <c r="M19" i="2"/>
  <c r="J31" i="2"/>
  <c r="J30" i="2"/>
  <c r="J27" i="2"/>
  <c r="J26" i="2"/>
  <c r="J23" i="2"/>
  <c r="J22" i="2"/>
  <c r="J21" i="2"/>
  <c r="J20" i="2"/>
  <c r="J19" i="2"/>
  <c r="G31" i="2"/>
  <c r="G30" i="2"/>
  <c r="G27" i="2"/>
  <c r="G23" i="2"/>
  <c r="G22" i="2"/>
  <c r="G21" i="2"/>
  <c r="G20" i="2"/>
  <c r="D31" i="2"/>
  <c r="D30" i="2"/>
  <c r="D27" i="2"/>
  <c r="D26" i="2"/>
  <c r="D19" i="2"/>
  <c r="D22" i="2"/>
  <c r="D23" i="2"/>
  <c r="D21" i="2"/>
  <c r="D20" i="2"/>
  <c r="F4" i="1"/>
  <c r="F5" i="1"/>
  <c r="F6" i="1"/>
  <c r="F7" i="1"/>
  <c r="F9" i="1"/>
  <c r="D9" i="1"/>
  <c r="D10" i="1"/>
  <c r="F2" i="1"/>
  <c r="D8" i="1"/>
  <c r="D7" i="1"/>
  <c r="D6" i="1"/>
  <c r="D5" i="1"/>
  <c r="D4" i="1"/>
  <c r="D2" i="1"/>
</calcChain>
</file>

<file path=xl/sharedStrings.xml><?xml version="1.0" encoding="utf-8"?>
<sst xmlns="http://schemas.openxmlformats.org/spreadsheetml/2006/main" count="571" uniqueCount="182">
  <si>
    <r>
      <rPr>
        <b/>
        <sz val="8"/>
        <color rgb="FF000000"/>
        <rFont val="IntelOne Display Regular"/>
      </rPr>
      <t>Power KPIs</t>
    </r>
    <r>
      <rPr>
        <sz val="8"/>
        <color rgb="FF000000"/>
        <rFont val="IntelOne Display Regular"/>
      </rPr>
      <t>​ (using heatsink)</t>
    </r>
  </si>
  <si>
    <r>
      <t>PRQ Commit</t>
    </r>
    <r>
      <rPr>
        <sz val="8"/>
        <color rgb="FF000000"/>
        <rFont val="IntelOne Display Regular"/>
        <family val="2"/>
      </rPr>
      <t>​</t>
    </r>
    <r>
      <rPr>
        <b/>
        <sz val="8"/>
        <color rgb="FF000000"/>
        <rFont val="IntelOne Display Regular"/>
        <family val="2"/>
      </rPr>
      <t xml:space="preserve"> (Q4’23)​
 (mW)​</t>
    </r>
  </si>
  <si>
    <r>
      <rPr>
        <b/>
        <sz val="8"/>
        <color rgb="FF0070C0"/>
        <rFont val="IntelOne Display Regular"/>
      </rPr>
      <t>Q4’25 </t>
    </r>
    <r>
      <rPr>
        <sz val="8"/>
        <color rgb="FF0070C0"/>
        <rFont val="IntelOne Display Regular"/>
      </rPr>
      <t xml:space="preserve">​
</t>
    </r>
    <r>
      <rPr>
        <b/>
        <sz val="8"/>
        <color rgb="FF0070C0"/>
        <rFont val="IntelOne Display Regular"/>
      </rPr>
      <t>Update</t>
    </r>
    <r>
      <rPr>
        <sz val="8"/>
        <color rgb="FF0070C0"/>
        <rFont val="IntelOne Display Regular"/>
      </rPr>
      <t>​</t>
    </r>
    <r>
      <rPr>
        <b/>
        <sz val="8"/>
        <color rgb="FF0070C0"/>
        <rFont val="IntelOne Display Regular"/>
      </rPr>
      <t xml:space="preserve"> (mW)​</t>
    </r>
  </si>
  <si>
    <r>
      <rPr>
        <b/>
        <sz val="8"/>
        <color rgb="FF000000"/>
        <rFont val="IntelOne Display Regular"/>
      </rPr>
      <t>Ratio </t>
    </r>
    <r>
      <rPr>
        <sz val="8"/>
        <color rgb="FF000000"/>
        <rFont val="IntelOne Display Regular"/>
      </rPr>
      <t>​</t>
    </r>
    <r>
      <rPr>
        <b/>
        <sz val="8"/>
        <color rgb="FF000000"/>
        <rFont val="IntelOne Display Regular"/>
      </rPr>
      <t>(Q4’25/Commit)​</t>
    </r>
  </si>
  <si>
    <r>
      <rPr>
        <b/>
        <sz val="8"/>
        <color rgb="FF000000"/>
        <rFont val="IntelOne Display Regular"/>
      </rPr>
      <t>Measured WW07’26 (mW)</t>
    </r>
    <r>
      <rPr>
        <sz val="8"/>
        <color rgb="FF000000"/>
        <rFont val="IntelOne Display Regular"/>
      </rPr>
      <t>​</t>
    </r>
  </si>
  <si>
    <r>
      <rPr>
        <b/>
        <sz val="8"/>
        <color rgb="FF000000"/>
        <rFont val="IntelOne Display Regular"/>
      </rPr>
      <t>Ratio (Measured WW06/Q4’25)</t>
    </r>
    <r>
      <rPr>
        <sz val="8"/>
        <color rgb="FF000000"/>
        <rFont val="IntelOne Display Regular"/>
      </rPr>
      <t>​</t>
    </r>
  </si>
  <si>
    <r>
      <t>Best Bridge Measured (mW)</t>
    </r>
    <r>
      <rPr>
        <sz val="8"/>
        <color rgb="FF000000"/>
        <rFont val="IntelOne Display Regular"/>
        <family val="2"/>
      </rPr>
      <t>​</t>
    </r>
  </si>
  <si>
    <r>
      <t xml:space="preserve">Ratio </t>
    </r>
    <r>
      <rPr>
        <sz val="8"/>
        <color rgb="FF000000"/>
        <rFont val="IntelOne Display Regular"/>
        <family val="2"/>
      </rPr>
      <t>​</t>
    </r>
    <r>
      <rPr>
        <b/>
        <sz val="8"/>
        <color rgb="FF000000"/>
        <rFont val="IntelOne Display Regular"/>
        <family val="2"/>
      </rPr>
      <t>(Best Bridge /Q4’25)​</t>
    </r>
  </si>
  <si>
    <r>
      <t>ARL QS PPG</t>
    </r>
    <r>
      <rPr>
        <sz val="8"/>
        <color rgb="FF000000"/>
        <rFont val="IntelOne Display Regular"/>
        <family val="2"/>
      </rPr>
      <t>​</t>
    </r>
    <r>
      <rPr>
        <b/>
        <sz val="8"/>
        <color rgb="FF000000"/>
        <rFont val="IntelOne Display Regular"/>
        <family val="2"/>
      </rPr>
      <t xml:space="preserve">
(mW)</t>
    </r>
    <r>
      <rPr>
        <sz val="8"/>
        <color rgb="FF000000"/>
        <rFont val="IntelOne Display Regular"/>
        <family val="2"/>
      </rPr>
      <t>​</t>
    </r>
  </si>
  <si>
    <t>OS Idle (25C)​</t>
  </si>
  <si>
    <r>
      <t>109 (WW52’24)</t>
    </r>
    <r>
      <rPr>
        <sz val="8"/>
        <color rgb="FF000000"/>
        <rFont val="IntelOne Display Regular"/>
        <family val="2"/>
      </rPr>
      <t>​</t>
    </r>
  </si>
  <si>
    <t>​</t>
  </si>
  <si>
    <r>
      <t>237</t>
    </r>
    <r>
      <rPr>
        <sz val="8"/>
        <color rgb="FF000000"/>
        <rFont val="IntelOne Display Regular"/>
        <family val="2"/>
      </rPr>
      <t>​</t>
    </r>
  </si>
  <si>
    <t>*</t>
  </si>
  <si>
    <t>Busy Idle (25C)​</t>
  </si>
  <si>
    <r>
      <t>223</t>
    </r>
    <r>
      <rPr>
        <sz val="8"/>
        <color rgb="FF000000"/>
        <rFont val="IntelOne Display Regular"/>
        <family val="2"/>
      </rPr>
      <t>​</t>
    </r>
  </si>
  <si>
    <t>286 (Q2'25)</t>
  </si>
  <si>
    <t>1.28​</t>
  </si>
  <si>
    <r>
      <t>NA</t>
    </r>
    <r>
      <rPr>
        <sz val="8"/>
        <color rgb="FF000000"/>
        <rFont val="IntelOne Display Regular"/>
        <family val="2"/>
      </rPr>
      <t>​</t>
    </r>
  </si>
  <si>
    <t>Netflix 1080p AVC/H.264 (40C)​</t>
  </si>
  <si>
    <r>
      <t>579</t>
    </r>
    <r>
      <rPr>
        <sz val="8"/>
        <color rgb="FF000000"/>
        <rFont val="IntelOne Display Regular"/>
        <family val="2"/>
      </rPr>
      <t>​</t>
    </r>
  </si>
  <si>
    <r>
      <t>1691</t>
    </r>
    <r>
      <rPr>
        <sz val="8"/>
        <color rgb="FF000000"/>
        <rFont val="IntelOne Display Regular"/>
        <family val="2"/>
      </rPr>
      <t>​</t>
    </r>
  </si>
  <si>
    <t>AVI 4K YouTube 4K30 AV1 (40C)​</t>
  </si>
  <si>
    <r>
      <t>803</t>
    </r>
    <r>
      <rPr>
        <sz val="8"/>
        <color rgb="FF000000"/>
        <rFont val="IntelOne Display Regular"/>
        <family val="2"/>
      </rPr>
      <t>​</t>
    </r>
  </si>
  <si>
    <r>
      <t>3535</t>
    </r>
    <r>
      <rPr>
        <sz val="8"/>
        <color rgb="FF000000"/>
        <rFont val="IntelOne Display Regular"/>
        <family val="2"/>
      </rPr>
      <t>​</t>
    </r>
  </si>
  <si>
    <t>4-tab browsing –Catapult (40C)​</t>
  </si>
  <si>
    <r>
      <t>1020 (WW52’24)</t>
    </r>
    <r>
      <rPr>
        <sz val="8"/>
        <color rgb="FF000000"/>
        <rFont val="IntelOne Display Regular"/>
        <family val="2"/>
      </rPr>
      <t>​</t>
    </r>
  </si>
  <si>
    <r>
      <t>1588</t>
    </r>
    <r>
      <rPr>
        <sz val="8"/>
        <color rgb="FF000000"/>
        <rFont val="IntelOne Display Regular"/>
        <family val="2"/>
      </rPr>
      <t>​</t>
    </r>
  </si>
  <si>
    <t>Teams 3x3 (50C)​</t>
  </si>
  <si>
    <r>
      <t>1586</t>
    </r>
    <r>
      <rPr>
        <sz val="8"/>
        <color rgb="FF000000"/>
        <rFont val="IntelOne Display Regular"/>
        <family val="2"/>
      </rPr>
      <t>​</t>
    </r>
  </si>
  <si>
    <r>
      <t>8191</t>
    </r>
    <r>
      <rPr>
        <sz val="8"/>
        <color rgb="FF000000"/>
        <rFont val="IntelOne Display Regular"/>
        <family val="2"/>
      </rPr>
      <t>​</t>
    </r>
  </si>
  <si>
    <t>Teams 3x3 + MEP (50C)​</t>
  </si>
  <si>
    <r>
      <t>2172 (WW14’25)</t>
    </r>
    <r>
      <rPr>
        <sz val="8"/>
        <color rgb="FF000000"/>
        <rFont val="IntelOne Display Regular"/>
        <family val="2"/>
      </rPr>
      <t>​</t>
    </r>
  </si>
  <si>
    <t>MCS (25C)​</t>
  </si>
  <si>
    <r>
      <t>55</t>
    </r>
    <r>
      <rPr>
        <sz val="8"/>
        <color rgb="FF000000"/>
        <rFont val="IntelOne Display Regular"/>
        <family val="2"/>
      </rPr>
      <t>​</t>
    </r>
  </si>
  <si>
    <r>
      <t>70</t>
    </r>
    <r>
      <rPr>
        <sz val="8"/>
        <color rgb="FF000000"/>
        <rFont val="IntelOne Display Regular"/>
        <family val="2"/>
      </rPr>
      <t>​</t>
    </r>
  </si>
  <si>
    <t>MM30 (40C)​</t>
  </si>
  <si>
    <r>
      <t>1585 (WW14’25)</t>
    </r>
    <r>
      <rPr>
        <sz val="8"/>
        <color rgb="FF000000"/>
        <rFont val="IntelOne Display Regular"/>
        <family val="2"/>
      </rPr>
      <t>​</t>
    </r>
  </si>
  <si>
    <t>2717 (Perf-1143)</t>
  </si>
  <si>
    <r>
      <rPr>
        <b/>
        <sz val="8"/>
        <color rgb="FF0070C0"/>
        <rFont val="IntelOne Display Regular"/>
      </rPr>
      <t>Q1’26 </t>
    </r>
    <r>
      <rPr>
        <sz val="8"/>
        <color rgb="FF0070C0"/>
        <rFont val="IntelOne Display Regular"/>
      </rPr>
      <t xml:space="preserve">​
</t>
    </r>
    <r>
      <rPr>
        <b/>
        <sz val="8"/>
        <color rgb="FF0070C0"/>
        <rFont val="IntelOne Display Regular"/>
      </rPr>
      <t>Update</t>
    </r>
    <r>
      <rPr>
        <sz val="8"/>
        <color rgb="FF0070C0"/>
        <rFont val="IntelOne Display Regular"/>
      </rPr>
      <t>​</t>
    </r>
    <r>
      <rPr>
        <b/>
        <sz val="8"/>
        <color rgb="FF0070C0"/>
        <rFont val="IntelOne Display Regular"/>
      </rPr>
      <t xml:space="preserve"> (mW)​</t>
    </r>
  </si>
  <si>
    <r>
      <rPr>
        <b/>
        <sz val="8"/>
        <color rgb="FF000000"/>
        <rFont val="IntelOne Display Regular"/>
      </rPr>
      <t>Ratio </t>
    </r>
    <r>
      <rPr>
        <sz val="8"/>
        <color rgb="FF000000"/>
        <rFont val="IntelOne Display Regular"/>
      </rPr>
      <t>​</t>
    </r>
    <r>
      <rPr>
        <b/>
        <sz val="8"/>
        <color rgb="FF000000"/>
        <rFont val="IntelOne Display Regular"/>
      </rPr>
      <t>(Q1’26/Commit)​</t>
    </r>
  </si>
  <si>
    <r>
      <rPr>
        <b/>
        <sz val="8"/>
        <color rgb="FF000000"/>
        <rFont val="IntelOne Display Regular"/>
      </rPr>
      <t>Measured WW10’26 (mW)</t>
    </r>
    <r>
      <rPr>
        <sz val="8"/>
        <color rgb="FF000000"/>
        <rFont val="IntelOne Display Regular"/>
      </rPr>
      <t>​</t>
    </r>
  </si>
  <si>
    <r>
      <rPr>
        <b/>
        <sz val="8"/>
        <color rgb="FF000000"/>
        <rFont val="IntelOne Display Regular"/>
      </rPr>
      <t>Ratio (Measured WW10/Q1'26)</t>
    </r>
    <r>
      <rPr>
        <sz val="8"/>
        <color rgb="FF000000"/>
        <rFont val="IntelOne Display Regular"/>
      </rPr>
      <t>​</t>
    </r>
  </si>
  <si>
    <t>48 (Q4'25)</t>
  </si>
  <si>
    <r>
      <rPr>
        <b/>
        <sz val="8"/>
        <color rgb="FF000000"/>
        <rFont val="IntelOne Display Regular"/>
      </rPr>
      <t>Power KPIs</t>
    </r>
    <r>
      <rPr>
        <sz val="8"/>
        <color rgb="FF000000"/>
        <rFont val="IntelOne Display Regular"/>
      </rPr>
      <t>​ (using Thermal Head)</t>
    </r>
  </si>
  <si>
    <r>
      <rPr>
        <b/>
        <sz val="8"/>
        <color rgb="FF000000"/>
        <rFont val="IntelOne Display Regular"/>
      </rPr>
      <t>Measured WW15’26 (mW)</t>
    </r>
    <r>
      <rPr>
        <sz val="8"/>
        <color rgb="FF000000"/>
        <rFont val="IntelOne Display Regular"/>
      </rPr>
      <t>​</t>
    </r>
  </si>
  <si>
    <r>
      <rPr>
        <b/>
        <sz val="8"/>
        <color rgb="FF000000"/>
        <rFont val="IntelOne Display Regular"/>
      </rPr>
      <t>Ratio (Measured WW15/Q1'26)</t>
    </r>
    <r>
      <rPr>
        <sz val="8"/>
        <color rgb="FF000000"/>
        <rFont val="IntelOne Display Regular"/>
      </rPr>
      <t>​</t>
    </r>
  </si>
  <si>
    <t>WW10DB (WW08 ifwi (DAM enable) + WW06 OS + RVP4 board )​</t>
  </si>
  <si>
    <t>Q4'24 Projection​</t>
  </si>
  <si>
    <t xml:space="preserve">New unit: U6CU472900689   || L2I9 || Leakage: </t>
  </si>
  <si>
    <t>BL KPI</t>
  </si>
  <si>
    <r>
      <t>IDON</t>
    </r>
    <r>
      <rPr>
        <sz val="11"/>
        <color rgb="FF000000"/>
        <rFont val="Intel Clear Light"/>
        <charset val="1"/>
      </rPr>
      <t>​</t>
    </r>
  </si>
  <si>
    <t>Ratio​</t>
  </si>
  <si>
    <r>
      <t>CMS</t>
    </r>
    <r>
      <rPr>
        <sz val="11"/>
        <color rgb="FF000000"/>
        <rFont val="Intel Clear Light"/>
        <charset val="1"/>
      </rPr>
      <t>​</t>
    </r>
  </si>
  <si>
    <r>
      <rPr>
        <sz val="11"/>
        <color rgb="FFFFFFFF"/>
        <rFont val="Intel Clear Light"/>
      </rPr>
      <t>Netflix @ 40C</t>
    </r>
    <r>
      <rPr>
        <sz val="11"/>
        <color rgb="FF000000"/>
        <rFont val="Intel Clear Light"/>
      </rPr>
      <t>​</t>
    </r>
  </si>
  <si>
    <r>
      <t>Youtube @40C</t>
    </r>
    <r>
      <rPr>
        <sz val="11"/>
        <color rgb="FF000000"/>
        <rFont val="Intel Clear Light"/>
        <charset val="1"/>
      </rPr>
      <t>​</t>
    </r>
  </si>
  <si>
    <r>
      <rPr>
        <sz val="11"/>
        <color rgb="FFFFFFFF"/>
        <rFont val="Intel Clear Light"/>
      </rPr>
      <t>Catapult @40C</t>
    </r>
    <r>
      <rPr>
        <sz val="11"/>
        <color rgb="FF000000"/>
        <rFont val="Intel Clear Light"/>
      </rPr>
      <t>​</t>
    </r>
  </si>
  <si>
    <r>
      <rPr>
        <sz val="11"/>
        <color rgb="FFFFFFFF"/>
        <rFont val="Intel Clear Light"/>
      </rPr>
      <t>Teams 3x3 @50C</t>
    </r>
    <r>
      <rPr>
        <sz val="11"/>
        <color rgb="FF000000"/>
        <rFont val="Intel Clear Light"/>
      </rPr>
      <t>​</t>
    </r>
  </si>
  <si>
    <t>Teams 3x3 + MEP @50C</t>
  </si>
  <si>
    <t>Busy Idle @25C</t>
  </si>
  <si>
    <t>Post ​</t>
  </si>
  <si>
    <t>Pre​</t>
  </si>
  <si>
    <t>(Post/Pre)​</t>
  </si>
  <si>
    <t>PkgC0</t>
  </si>
  <si>
    <t>To check: (WW07)</t>
  </si>
  <si>
    <t>Comment (WW10)</t>
  </si>
  <si>
    <t>PkgC2</t>
  </si>
  <si>
    <t>VCCIO and VNNAON high</t>
  </si>
  <si>
    <t>WIP</t>
  </si>
  <si>
    <t>PkgC6.1</t>
  </si>
  <si>
    <t>only 3% expected on PCIE lpm, now we see 12%</t>
  </si>
  <si>
    <t>check with telemetry, socwatch not tally</t>
  </si>
  <si>
    <t>PkgC6.2</t>
  </si>
  <si>
    <t>TCSS residency high (last time due socwatch)</t>
  </si>
  <si>
    <t>may due to socwatch</t>
  </si>
  <si>
    <t>PkgC10.1</t>
  </si>
  <si>
    <t>USB high even though we didnt connect anything.</t>
  </si>
  <si>
    <t>PkgC10.2</t>
  </si>
  <si>
    <t>PCD rail is higher than MCP (MCP got negative value on VDD2H) &gt; check on connection cable</t>
  </si>
  <si>
    <t>current DB: no negative value</t>
  </si>
  <si>
    <t>PkgC10.3</t>
  </si>
  <si>
    <t>IDON and catapult can go to PC10.3 (is this expected? &gt; check with PM team)</t>
  </si>
  <si>
    <t>nvl hx also enter</t>
  </si>
  <si>
    <t>VCCSA should be off in PC10.3 (voltage=0) &gt; check on IDON</t>
  </si>
  <si>
    <t>projection not 0</t>
  </si>
  <si>
    <t>S0i2.0</t>
  </si>
  <si>
    <t>S0i2.1</t>
  </si>
  <si>
    <t>S0i2.2</t>
  </si>
  <si>
    <t>To check: (WW10)</t>
  </si>
  <si>
    <t>Comment (WW)</t>
  </si>
  <si>
    <t>HX also seeing high vccio and vnnaon</t>
  </si>
  <si>
    <t>JS planned to send for IREM</t>
  </si>
  <si>
    <t>P_VCC_LP_ECORE</t>
  </si>
  <si>
    <t>Use dam enable IFWI causing +20mW on vnnaon</t>
  </si>
  <si>
    <t>P_VCCPRIM_IO</t>
  </si>
  <si>
    <t>PC0 CMS not tally with power, PC0 suppose = 0 because Pcore=0</t>
  </si>
  <si>
    <t>P_VCCPRIM_VNNAON</t>
  </si>
  <si>
    <t>GT projection should be 0 in netflix?</t>
  </si>
  <si>
    <t>expected as media ip is in VCCSA</t>
  </si>
  <si>
    <t>P_VCCPRIM_1P8​</t>
  </si>
  <si>
    <t>RTC power high should be ~0</t>
  </si>
  <si>
    <t>P_VCCRTC</t>
  </si>
  <si>
    <t>System using both die, need to use ICeland Core instead of CDIE</t>
  </si>
  <si>
    <t>waiting for BKC optimisation</t>
  </si>
  <si>
    <t>P_VCCPRIM_1P8_FLTRA</t>
  </si>
  <si>
    <t>Check PCD IP active, anything abnrmal?</t>
  </si>
  <si>
    <t>P_VCCPRIM_1P8_FLTRB</t>
  </si>
  <si>
    <t>Hx using same PCD and HUB die as NVLP</t>
  </si>
  <si>
    <t>P_VDDQ_CPU</t>
  </si>
  <si>
    <t>P_VDD2H_CPU</t>
  </si>
  <si>
    <t>P_VCCCORE</t>
  </si>
  <si>
    <t>P_VCCGT</t>
  </si>
  <si>
    <t>P_VCCSA</t>
  </si>
  <si>
    <t>P_MCP_TOTAL</t>
  </si>
  <si>
    <t>WW15DB (WW10 ifwi (DAM enable) + WW09 OS + RVP4 board + Thermal Head)​</t>
  </si>
  <si>
    <t xml:space="preserve">New unit: U52N35B302219   || L2KV || Leakage: </t>
  </si>
  <si>
    <t>https://docs.intel.com/documents/PCH_Power_KPI_One_Voice/NVL_PCD_H/NVL_PCD_H_Q1_2025_Power_Rollup.html</t>
  </si>
  <si>
    <t>Residencies</t>
  </si>
  <si>
    <t>PVT Corner</t>
  </si>
  <si>
    <t>Temperature</t>
  </si>
  <si>
    <t>PSR</t>
  </si>
  <si>
    <t>Project</t>
  </si>
  <si>
    <t>Die usage</t>
  </si>
  <si>
    <t>SKU</t>
  </si>
  <si>
    <t>KPIs</t>
  </si>
  <si>
    <t>Baseline/Progression</t>
  </si>
  <si>
    <t>PkgC3</t>
  </si>
  <si>
    <t>PkgC6</t>
  </si>
  <si>
    <t>PkgC7</t>
  </si>
  <si>
    <t>PkgC8</t>
  </si>
  <si>
    <t>PkgC9</t>
  </si>
  <si>
    <t>PkgC10</t>
  </si>
  <si>
    <t>S0i2p0</t>
  </si>
  <si>
    <t>S0i2p1</t>
  </si>
  <si>
    <t>S0i2p2</t>
  </si>
  <si>
    <t>Display PHY P0</t>
  </si>
  <si>
    <t>Display PHY P2</t>
  </si>
  <si>
    <t>Display PHY P2.PG</t>
  </si>
  <si>
    <t>PCIe SSD L0</t>
  </si>
  <si>
    <t>PCIe SSD L1</t>
  </si>
  <si>
    <t>PCIe SSD L1.2</t>
  </si>
  <si>
    <t>CNVi Prim</t>
  </si>
  <si>
    <t>ACE Prim</t>
  </si>
  <si>
    <t>DMI L0</t>
  </si>
  <si>
    <t>USB3 U0</t>
  </si>
  <si>
    <t>USB2 L0</t>
  </si>
  <si>
    <t>SATA Active</t>
  </si>
  <si>
    <t>ISH D0i0</t>
  </si>
  <si>
    <t>ISH D0i2</t>
  </si>
  <si>
    <t>PCIe Gen5 x4 L0</t>
  </si>
  <si>
    <t>PCIe Gen5 x4 L1.2</t>
  </si>
  <si>
    <t>tttt</t>
  </si>
  <si>
    <t>PSR2</t>
  </si>
  <si>
    <t>NVL</t>
  </si>
  <si>
    <t>Consumer</t>
  </si>
  <si>
    <t>H</t>
  </si>
  <si>
    <t>Streaming Netflix 1080p24</t>
  </si>
  <si>
    <t>Baseline</t>
  </si>
  <si>
    <t>Progression DLRM</t>
  </si>
  <si>
    <t>Browsing 4-tab (Catapult)</t>
  </si>
  <si>
    <t>Teams3x3 (no MEP - no AI features)</t>
  </si>
  <si>
    <t>Teams3x3 (w/MEP)</t>
  </si>
  <si>
    <t>Busy Idle</t>
  </si>
  <si>
    <t>Streaming Youtube 4k30 AV1</t>
  </si>
  <si>
    <t>MCS/Chrome S0ix</t>
  </si>
  <si>
    <t>Progression</t>
  </si>
  <si>
    <t>MM25</t>
  </si>
  <si>
    <t>Idle Display ON (PSR)</t>
  </si>
  <si>
    <t>NVL-H (PCD-H) KPIs Per-Rail Breakdown (source)</t>
  </si>
  <si>
    <t>NVL-PCD-H (Consumer) KPI Power rollup w 10% GB (mW) Typical</t>
  </si>
  <si>
    <t>Battery Life KPIs</t>
  </si>
  <si>
    <t>Vnnaon</t>
  </si>
  <si>
    <t>VccIO</t>
  </si>
  <si>
    <t>V1p8</t>
  </si>
  <si>
    <t>Vrtc</t>
  </si>
  <si>
    <t>Total PCD H projection</t>
  </si>
  <si>
    <t>Progression (DLRM)</t>
  </si>
  <si>
    <t>Teams3x3 (no MEP- no AI)</t>
  </si>
  <si>
    <t>Teams3x3 (w/ MEP)</t>
  </si>
  <si>
    <t>MCS</t>
  </si>
  <si>
    <t>Idle Display 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</si>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</sst>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8"/>
      <color rgb="FF000000"/>
      <name val="IntelOne Display Regular"/>
      <family val="2"/>
    </font>
    <font>
      <b/>
      <sz val="8"/>
      <color rgb="FF000000"/>
      <name val="IntelOne Display Regular"/>
      <family val="2"/>
    </font>
    <font>
      <sz val="8"/>
      <color rgb="FF000000"/>
      <name val="IntelOne Text Light"/>
      <family val="2"/>
    </font>
    <font>
      <b/>
      <sz val="8"/>
      <color rgb="FF000000"/>
      <name val="IntelOne Display Regular"/>
    </font>
    <font>
      <sz val="8"/>
      <color rgb="FF000000"/>
      <name val="IntelOne Display Regular"/>
    </font>
    <font>
      <b/>
      <sz val="8"/>
      <color rgb="FF0070C0"/>
      <name val="IntelOne Display Regular"/>
    </font>
    <font>
      <sz val="8"/>
      <color rgb="FF0070C0"/>
      <name val="IntelOne Display Regular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sz val="11"/>
      <color rgb="FF000000"/>
      <name val="Intel Clear Light"/>
      <charset val="1"/>
    </font>
    <font>
      <sz val="11"/>
      <color rgb="FFFFFFFF"/>
      <name val="Intel Clear Light"/>
      <charset val="1"/>
    </font>
    <font>
      <b/>
      <sz val="11"/>
      <color rgb="FF000000"/>
      <name val="Intel Clear Light"/>
      <charset val="1"/>
    </font>
    <font>
      <b/>
      <sz val="12"/>
      <color rgb="FF000000"/>
      <name val="Intel Clear Light"/>
      <charset val="1"/>
    </font>
    <font>
      <sz val="11"/>
      <color rgb="FFFFFFFF"/>
      <name val="Intel Clear Light"/>
    </font>
    <font>
      <sz val="11"/>
      <color rgb="FF000000"/>
      <name val="Intel Clear Light"/>
    </font>
    <font>
      <u/>
      <sz val="11"/>
      <color theme="10"/>
      <name val="Calibri"/>
      <family val="2"/>
      <scheme val="minor"/>
    </font>
    <font>
      <b/>
      <sz val="11"/>
      <color rgb="FFFFFFFF"/>
      <name val="Roboto"/>
      <charset val="1"/>
    </font>
    <font>
      <sz val="11"/>
      <color rgb="FF333333"/>
      <name val="Roboto"/>
      <charset val="1"/>
    </font>
    <font>
      <sz val="11"/>
      <color rgb="FF000000"/>
      <name val="Roboto"/>
      <charset val="1"/>
    </font>
    <font>
      <b/>
      <sz val="14"/>
      <color rgb="FF000000"/>
      <name val="Roboto"/>
      <charset val="1"/>
    </font>
    <font>
      <sz val="11"/>
      <color rgb="FFFFFFFF"/>
      <name val="Roboto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05764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D8EDF3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/>
      <diagonal/>
    </border>
    <border>
      <left style="thin">
        <color rgb="FF777777"/>
      </left>
      <right style="thin">
        <color rgb="FF777777"/>
      </right>
      <top/>
      <bottom style="thin">
        <color rgb="FF777777"/>
      </bottom>
      <diagonal/>
    </border>
    <border>
      <left/>
      <right/>
      <top/>
      <bottom style="thick">
        <color rgb="FFCCCCCC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2" xfId="0" applyFont="1" applyBorder="1"/>
    <xf numFmtId="2" fontId="1" fillId="3" borderId="2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2" fontId="1" fillId="4" borderId="2" xfId="0" applyNumberFormat="1" applyFont="1" applyFill="1" applyBorder="1" applyAlignment="1">
      <alignment horizontal="center" wrapText="1"/>
    </xf>
    <xf numFmtId="2" fontId="1" fillId="5" borderId="2" xfId="0" applyNumberFormat="1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10" fillId="0" borderId="2" xfId="0" applyNumberFormat="1" applyFont="1" applyBorder="1" applyAlignment="1">
      <alignment horizontal="center" wrapText="1"/>
    </xf>
    <xf numFmtId="2" fontId="10" fillId="9" borderId="2" xfId="0" applyNumberFormat="1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2" fontId="10" fillId="0" borderId="12" xfId="0" quotePrefix="1" applyNumberFormat="1" applyFont="1" applyBorder="1" applyAlignment="1">
      <alignment horizontal="center" wrapText="1"/>
    </xf>
    <xf numFmtId="2" fontId="10" fillId="0" borderId="12" xfId="0" applyNumberFormat="1" applyFont="1" applyBorder="1" applyAlignment="1">
      <alignment horizontal="center" wrapText="1"/>
    </xf>
    <xf numFmtId="2" fontId="10" fillId="0" borderId="14" xfId="0" applyNumberFormat="1" applyFont="1" applyBorder="1" applyAlignment="1">
      <alignment horizontal="center" wrapText="1"/>
    </xf>
    <xf numFmtId="2" fontId="10" fillId="0" borderId="15" xfId="0" applyNumberFormat="1" applyFont="1" applyBorder="1" applyAlignment="1">
      <alignment horizontal="center" wrapText="1"/>
    </xf>
    <xf numFmtId="0" fontId="12" fillId="9" borderId="16" xfId="0" applyFont="1" applyFill="1" applyBorder="1" applyAlignment="1">
      <alignment wrapText="1"/>
    </xf>
    <xf numFmtId="0" fontId="10" fillId="9" borderId="17" xfId="0" applyFont="1" applyFill="1" applyBorder="1" applyAlignment="1">
      <alignment wrapText="1"/>
    </xf>
    <xf numFmtId="0" fontId="13" fillId="9" borderId="17" xfId="0" applyFont="1" applyFill="1" applyBorder="1" applyAlignment="1">
      <alignment horizontal="left" wrapText="1"/>
    </xf>
    <xf numFmtId="0" fontId="10" fillId="9" borderId="18" xfId="0" applyFont="1" applyFill="1" applyBorder="1" applyAlignment="1">
      <alignment wrapText="1"/>
    </xf>
    <xf numFmtId="0" fontId="10" fillId="0" borderId="19" xfId="0" applyFont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horizontal="center" wrapText="1"/>
    </xf>
    <xf numFmtId="2" fontId="10" fillId="0" borderId="3" xfId="0" applyNumberFormat="1" applyFont="1" applyBorder="1" applyAlignment="1">
      <alignment horizontal="center" wrapText="1"/>
    </xf>
    <xf numFmtId="2" fontId="10" fillId="9" borderId="3" xfId="0" applyNumberFormat="1" applyFont="1" applyFill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13" fillId="9" borderId="20" xfId="0" applyFont="1" applyFill="1" applyBorder="1" applyAlignment="1">
      <alignment horizontal="left" wrapText="1"/>
    </xf>
    <xf numFmtId="0" fontId="10" fillId="0" borderId="2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0" fontId="13" fillId="9" borderId="16" xfId="0" applyFont="1" applyFill="1" applyBorder="1" applyAlignment="1">
      <alignment horizontal="left" wrapText="1"/>
    </xf>
    <xf numFmtId="0" fontId="9" fillId="9" borderId="23" xfId="0" applyFont="1" applyFill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9" borderId="19" xfId="0" applyFont="1" applyFill="1" applyBorder="1" applyAlignment="1">
      <alignment horizontal="center" wrapText="1"/>
    </xf>
    <xf numFmtId="0" fontId="10" fillId="9" borderId="20" xfId="0" applyFont="1" applyFill="1" applyBorder="1" applyAlignment="1">
      <alignment wrapText="1"/>
    </xf>
    <xf numFmtId="0" fontId="10" fillId="0" borderId="2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2" fontId="10" fillId="0" borderId="7" xfId="0" quotePrefix="1" applyNumberFormat="1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22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13" fillId="9" borderId="24" xfId="0" applyFont="1" applyFill="1" applyBorder="1" applyAlignment="1">
      <alignment horizontal="left" wrapText="1"/>
    </xf>
    <xf numFmtId="0" fontId="10" fillId="9" borderId="25" xfId="0" applyFont="1" applyFill="1" applyBorder="1" applyAlignment="1">
      <alignment horizontal="center" wrapText="1"/>
    </xf>
    <xf numFmtId="0" fontId="10" fillId="9" borderId="26" xfId="0" applyFont="1" applyFill="1" applyBorder="1" applyAlignment="1">
      <alignment horizontal="center" wrapText="1"/>
    </xf>
    <xf numFmtId="0" fontId="9" fillId="9" borderId="27" xfId="0" applyFont="1" applyFill="1" applyBorder="1" applyAlignment="1">
      <alignment horizontal="center" wrapText="1"/>
    </xf>
    <xf numFmtId="0" fontId="10" fillId="9" borderId="28" xfId="0" applyFont="1" applyFill="1" applyBorder="1" applyAlignment="1">
      <alignment horizontal="center" wrapText="1"/>
    </xf>
    <xf numFmtId="0" fontId="9" fillId="9" borderId="29" xfId="0" applyFont="1" applyFill="1" applyBorder="1" applyAlignment="1">
      <alignment horizontal="center" wrapText="1"/>
    </xf>
    <xf numFmtId="0" fontId="9" fillId="9" borderId="25" xfId="0" applyFont="1" applyFill="1" applyBorder="1" applyAlignment="1">
      <alignment horizontal="center" wrapText="1"/>
    </xf>
    <xf numFmtId="0" fontId="9" fillId="9" borderId="30" xfId="0" applyFont="1" applyFill="1" applyBorder="1" applyAlignment="1">
      <alignment horizontal="center" wrapText="1"/>
    </xf>
    <xf numFmtId="0" fontId="13" fillId="9" borderId="31" xfId="0" applyFont="1" applyFill="1" applyBorder="1" applyAlignment="1">
      <alignment horizontal="left" wrapText="1"/>
    </xf>
    <xf numFmtId="0" fontId="13" fillId="9" borderId="33" xfId="0" applyFont="1" applyFill="1" applyBorder="1" applyAlignment="1">
      <alignment horizontal="left" wrapText="1"/>
    </xf>
    <xf numFmtId="0" fontId="10" fillId="0" borderId="3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wrapText="1"/>
    </xf>
    <xf numFmtId="0" fontId="10" fillId="0" borderId="39" xfId="0" applyFont="1" applyBorder="1" applyAlignment="1">
      <alignment horizontal="center" wrapText="1"/>
    </xf>
    <xf numFmtId="0" fontId="9" fillId="0" borderId="39" xfId="0" applyFont="1" applyBorder="1" applyAlignment="1">
      <alignment horizontal="center" wrapText="1"/>
    </xf>
    <xf numFmtId="0" fontId="9" fillId="0" borderId="35" xfId="0" applyFont="1" applyBorder="1" applyAlignment="1">
      <alignment horizontal="center" wrapText="1"/>
    </xf>
    <xf numFmtId="0" fontId="9" fillId="9" borderId="34" xfId="0" applyFont="1" applyFill="1" applyBorder="1" applyAlignment="1">
      <alignment horizontal="center" wrapText="1"/>
    </xf>
    <xf numFmtId="2" fontId="10" fillId="0" borderId="39" xfId="0" applyNumberFormat="1" applyFont="1" applyBorder="1" applyAlignment="1">
      <alignment horizontal="center" wrapText="1"/>
    </xf>
    <xf numFmtId="2" fontId="10" fillId="0" borderId="39" xfId="0" quotePrefix="1" applyNumberFormat="1" applyFont="1" applyBorder="1" applyAlignment="1">
      <alignment horizontal="center" wrapText="1"/>
    </xf>
    <xf numFmtId="0" fontId="9" fillId="9" borderId="7" xfId="0" applyFont="1" applyFill="1" applyBorder="1" applyAlignment="1">
      <alignment horizont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38" xfId="0" applyFont="1" applyFill="1" applyBorder="1" applyAlignment="1">
      <alignment horizontal="center" wrapText="1"/>
    </xf>
    <xf numFmtId="0" fontId="10" fillId="9" borderId="32" xfId="0" applyFont="1" applyFill="1" applyBorder="1" applyAlignment="1">
      <alignment horizontal="center" wrapText="1"/>
    </xf>
    <xf numFmtId="0" fontId="9" fillId="9" borderId="32" xfId="0" applyFont="1" applyFill="1" applyBorder="1" applyAlignment="1">
      <alignment horizontal="center" wrapText="1"/>
    </xf>
    <xf numFmtId="0" fontId="9" fillId="9" borderId="36" xfId="0" applyFont="1" applyFill="1" applyBorder="1" applyAlignment="1">
      <alignment horizontal="center" wrapText="1"/>
    </xf>
    <xf numFmtId="2" fontId="10" fillId="0" borderId="10" xfId="0" quotePrefix="1" applyNumberFormat="1" applyFont="1" applyBorder="1" applyAlignment="1">
      <alignment horizontal="center" wrapText="1"/>
    </xf>
    <xf numFmtId="2" fontId="10" fillId="0" borderId="11" xfId="0" applyNumberFormat="1" applyFont="1" applyBorder="1" applyAlignment="1">
      <alignment horizontal="center" wrapText="1"/>
    </xf>
    <xf numFmtId="2" fontId="10" fillId="0" borderId="19" xfId="0" quotePrefix="1" applyNumberFormat="1" applyFont="1" applyBorder="1" applyAlignment="1">
      <alignment horizontal="center" wrapText="1"/>
    </xf>
    <xf numFmtId="2" fontId="10" fillId="0" borderId="37" xfId="0" quotePrefix="1" applyNumberFormat="1" applyFont="1" applyBorder="1" applyAlignment="1">
      <alignment horizontal="center" wrapText="1"/>
    </xf>
    <xf numFmtId="2" fontId="10" fillId="0" borderId="40" xfId="0" quotePrefix="1" applyNumberFormat="1" applyFont="1" applyBorder="1" applyAlignment="1">
      <alignment horizontal="center" wrapText="1"/>
    </xf>
    <xf numFmtId="2" fontId="10" fillId="0" borderId="13" xfId="0" applyNumberFormat="1" applyFont="1" applyBorder="1" applyAlignment="1">
      <alignment horizontal="center" wrapText="1"/>
    </xf>
    <xf numFmtId="2" fontId="10" fillId="9" borderId="13" xfId="0" applyNumberFormat="1" applyFont="1" applyFill="1" applyBorder="1" applyAlignment="1">
      <alignment horizontal="center" wrapText="1"/>
    </xf>
    <xf numFmtId="2" fontId="10" fillId="0" borderId="23" xfId="0" quotePrefix="1" applyNumberFormat="1" applyFont="1" applyBorder="1" applyAlignment="1">
      <alignment horizontal="center" wrapText="1"/>
    </xf>
    <xf numFmtId="2" fontId="10" fillId="0" borderId="41" xfId="0" applyNumberFormat="1" applyFont="1" applyBorder="1" applyAlignment="1">
      <alignment horizontal="center" wrapText="1"/>
    </xf>
    <xf numFmtId="2" fontId="10" fillId="0" borderId="42" xfId="0" applyNumberFormat="1" applyFont="1" applyBorder="1" applyAlignment="1">
      <alignment horizontal="center" wrapText="1"/>
    </xf>
    <xf numFmtId="2" fontId="10" fillId="0" borderId="43" xfId="0" applyNumberFormat="1" applyFont="1" applyBorder="1" applyAlignment="1">
      <alignment horizontal="center" wrapText="1"/>
    </xf>
    <xf numFmtId="0" fontId="10" fillId="9" borderId="44" xfId="0" applyFont="1" applyFill="1" applyBorder="1" applyAlignment="1">
      <alignment horizontal="center" wrapText="1"/>
    </xf>
    <xf numFmtId="0" fontId="10" fillId="9" borderId="21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9" fillId="9" borderId="45" xfId="0" applyFont="1" applyFill="1" applyBorder="1" applyAlignment="1">
      <alignment horizontal="center" wrapText="1"/>
    </xf>
    <xf numFmtId="0" fontId="10" fillId="9" borderId="46" xfId="0" applyFont="1" applyFill="1" applyBorder="1" applyAlignment="1">
      <alignment horizontal="center" wrapText="1"/>
    </xf>
    <xf numFmtId="0" fontId="10" fillId="9" borderId="35" xfId="0" applyFont="1" applyFill="1" applyBorder="1" applyAlignment="1">
      <alignment horizontal="center" wrapText="1"/>
    </xf>
    <xf numFmtId="0" fontId="8" fillId="7" borderId="0" xfId="0" applyFont="1" applyFill="1" applyAlignment="1">
      <alignment horizontal="left" vertical="center" wrapText="1"/>
    </xf>
    <xf numFmtId="0" fontId="12" fillId="9" borderId="17" xfId="0" applyFont="1" applyFill="1" applyBorder="1" applyAlignment="1">
      <alignment wrapText="1"/>
    </xf>
    <xf numFmtId="0" fontId="4" fillId="10" borderId="1" xfId="0" applyFont="1" applyFill="1" applyBorder="1" applyAlignment="1">
      <alignment horizontal="center" vertical="center" wrapText="1"/>
    </xf>
    <xf numFmtId="0" fontId="0" fillId="11" borderId="0" xfId="0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17" fillId="12" borderId="47" xfId="0" applyFont="1" applyFill="1" applyBorder="1" applyAlignment="1">
      <alignment horizontal="center" wrapText="1"/>
    </xf>
    <xf numFmtId="0" fontId="18" fillId="13" borderId="47" xfId="0" applyFont="1" applyFill="1" applyBorder="1" applyAlignment="1">
      <alignment horizontal="center" wrapText="1"/>
    </xf>
    <xf numFmtId="10" fontId="18" fillId="13" borderId="47" xfId="0" applyNumberFormat="1" applyFont="1" applyFill="1" applyBorder="1" applyAlignment="1">
      <alignment horizontal="center" wrapText="1"/>
    </xf>
    <xf numFmtId="0" fontId="18" fillId="14" borderId="47" xfId="0" applyFont="1" applyFill="1" applyBorder="1" applyAlignment="1">
      <alignment horizontal="center" wrapText="1"/>
    </xf>
    <xf numFmtId="10" fontId="18" fillId="14" borderId="47" xfId="0" applyNumberFormat="1" applyFont="1" applyFill="1" applyBorder="1" applyAlignment="1">
      <alignment horizontal="center" wrapText="1"/>
    </xf>
    <xf numFmtId="10" fontId="19" fillId="14" borderId="47" xfId="0" applyNumberFormat="1" applyFont="1" applyFill="1" applyBorder="1" applyAlignment="1">
      <alignment horizontal="center" wrapText="1"/>
    </xf>
    <xf numFmtId="10" fontId="19" fillId="13" borderId="47" xfId="0" applyNumberFormat="1" applyFont="1" applyFill="1" applyBorder="1" applyAlignment="1">
      <alignment horizontal="center" wrapText="1"/>
    </xf>
    <xf numFmtId="0" fontId="20" fillId="0" borderId="50" xfId="0" applyFont="1" applyBorder="1"/>
    <xf numFmtId="0" fontId="16" fillId="0" borderId="0" xfId="1"/>
    <xf numFmtId="0" fontId="21" fillId="12" borderId="47" xfId="0" applyFont="1" applyFill="1" applyBorder="1" applyAlignment="1">
      <alignment horizontal="center" wrapText="1"/>
    </xf>
    <xf numFmtId="0" fontId="19" fillId="13" borderId="47" xfId="0" applyFont="1" applyFill="1" applyBorder="1" applyAlignment="1">
      <alignment horizontal="center" wrapText="1"/>
    </xf>
    <xf numFmtId="0" fontId="19" fillId="14" borderId="47" xfId="0" applyFont="1" applyFill="1" applyBorder="1" applyAlignment="1">
      <alignment horizontal="center" wrapText="1"/>
    </xf>
    <xf numFmtId="2" fontId="10" fillId="4" borderId="2" xfId="0" applyNumberFormat="1" applyFont="1" applyFill="1" applyBorder="1" applyAlignment="1">
      <alignment horizontal="center" wrapText="1"/>
    </xf>
    <xf numFmtId="0" fontId="10" fillId="4" borderId="10" xfId="0" applyFont="1" applyFill="1" applyBorder="1" applyAlignment="1">
      <alignment horizontal="center" wrapText="1"/>
    </xf>
    <xf numFmtId="2" fontId="10" fillId="4" borderId="12" xfId="0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4" fillId="8" borderId="34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9" fillId="13" borderId="48" xfId="0" applyFont="1" applyFill="1" applyBorder="1" applyAlignment="1">
      <alignment horizontal="center" wrapText="1"/>
    </xf>
    <xf numFmtId="0" fontId="19" fillId="13" borderId="49" xfId="0" applyFont="1" applyFill="1" applyBorder="1" applyAlignment="1">
      <alignment horizontal="center" wrapText="1"/>
    </xf>
    <xf numFmtId="0" fontId="19" fillId="14" borderId="48" xfId="0" applyFont="1" applyFill="1" applyBorder="1" applyAlignment="1">
      <alignment horizontal="center" wrapText="1"/>
    </xf>
    <xf numFmtId="0" fontId="19" fillId="14" borderId="49" xfId="0" applyFont="1" applyFill="1" applyBorder="1" applyAlignment="1">
      <alignment horizontal="center" wrapText="1"/>
    </xf>
    <xf numFmtId="0" fontId="18" fillId="13" borderId="48" xfId="0" applyFont="1" applyFill="1" applyBorder="1" applyAlignment="1">
      <alignment horizontal="center" wrapText="1"/>
    </xf>
    <xf numFmtId="0" fontId="18" fillId="13" borderId="49" xfId="0" applyFont="1" applyFill="1" applyBorder="1" applyAlignment="1">
      <alignment horizontal="center" wrapText="1"/>
    </xf>
    <xf numFmtId="0" fontId="17" fillId="12" borderId="51" xfId="0" applyFont="1" applyFill="1" applyBorder="1" applyAlignment="1">
      <alignment horizontal="center" wrapText="1"/>
    </xf>
    <xf numFmtId="0" fontId="17" fillId="12" borderId="52" xfId="0" applyFont="1" applyFill="1" applyBorder="1" applyAlignment="1">
      <alignment horizontal="center" wrapText="1"/>
    </xf>
    <xf numFmtId="0" fontId="17" fillId="12" borderId="53" xfId="0" applyFont="1" applyFill="1" applyBorder="1" applyAlignment="1">
      <alignment horizontal="center" wrapText="1"/>
    </xf>
    <xf numFmtId="0" fontId="21" fillId="12" borderId="51" xfId="0" applyFont="1" applyFill="1" applyBorder="1" applyAlignment="1">
      <alignment horizontal="center" wrapText="1"/>
    </xf>
    <xf numFmtId="0" fontId="21" fillId="12" borderId="52" xfId="0" applyFont="1" applyFill="1" applyBorder="1" applyAlignment="1">
      <alignment horizontal="center" wrapText="1"/>
    </xf>
    <xf numFmtId="0" fontId="21" fillId="12" borderId="53" xfId="0" applyFont="1" applyFill="1" applyBorder="1" applyAlignment="1">
      <alignment horizontal="center" wrapText="1"/>
    </xf>
    <xf numFmtId="0" fontId="18" fillId="14" borderId="48" xfId="0" applyFont="1" applyFill="1" applyBorder="1" applyAlignment="1">
      <alignment horizontal="center" wrapText="1"/>
    </xf>
    <xf numFmtId="0" fontId="18" fillId="14" borderId="4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6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0</xdr:row>
      <xdr:rowOff>0</xdr:rowOff>
    </xdr:from>
    <xdr:to>
      <xdr:col>17</xdr:col>
      <xdr:colOff>352425</xdr:colOff>
      <xdr:row>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0330B5-A274-5E88-351C-FBF8C0E195C1}"/>
            </a:ext>
            <a:ext uri="{147F2762-F138-4A5C-976F-8EAC2B608ADB}">
              <a16:predDERef xmlns:a16="http://schemas.microsoft.com/office/drawing/2014/main" pred="{EC378D96-AFC2-3646-ED6C-582D3A8E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0050" y="0"/>
          <a:ext cx="4572000" cy="24479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11</xdr:row>
      <xdr:rowOff>171450</xdr:rowOff>
    </xdr:from>
    <xdr:to>
      <xdr:col>17</xdr:col>
      <xdr:colOff>323850</xdr:colOff>
      <xdr:row>23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DD230-44A0-2FCB-24B9-522702BA52BB}"/>
            </a:ext>
            <a:ext uri="{147F2762-F138-4A5C-976F-8EAC2B608ADB}">
              <a16:predDERef xmlns:a16="http://schemas.microsoft.com/office/drawing/2014/main" pred="{7F0330B5-A274-5E88-351C-FBF8C0E1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1475" y="2543175"/>
          <a:ext cx="4572000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intel.com/documents/PCH_Power_KPI_One_Voice/NVL_PCD_H/assets/NVL_Q125_Power_Rollup.xlsx" TargetMode="External"/><Relationship Id="rId1" Type="http://schemas.openxmlformats.org/officeDocument/2006/relationships/hyperlink" Target="https://docs.intel.com/documents/PCH_Power_KPI_One_Voice/NVL_PCD_H/NVL_PCD_H_Q1_2025_Power_Rollu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opLeftCell="A25" workbookViewId="0">
      <selection activeCell="L26" sqref="L26"/>
    </sheetView>
  </sheetViews>
  <sheetFormatPr defaultRowHeight="15" customHeight="1"/>
  <cols>
    <col min="1" max="1" width="23.42578125" customWidth="1"/>
    <col min="2" max="2" width="14.5703125" customWidth="1"/>
    <col min="7" max="7" width="12.28515625" customWidth="1"/>
    <col min="9" max="9" width="14.42578125" customWidth="1"/>
  </cols>
  <sheetData>
    <row r="1" spans="1:10" ht="57">
      <c r="A1" s="9" t="s">
        <v>0</v>
      </c>
      <c r="B1" s="1" t="s">
        <v>1</v>
      </c>
      <c r="C1" s="10" t="s">
        <v>2</v>
      </c>
      <c r="D1" s="9" t="s">
        <v>3</v>
      </c>
      <c r="E1" s="106" t="s">
        <v>4</v>
      </c>
      <c r="F1" s="9" t="s">
        <v>5</v>
      </c>
      <c r="G1" s="1" t="s">
        <v>6</v>
      </c>
      <c r="H1" s="1" t="s">
        <v>7</v>
      </c>
      <c r="I1" s="2" t="s">
        <v>8</v>
      </c>
    </row>
    <row r="2" spans="1:10">
      <c r="A2" s="3" t="s">
        <v>9</v>
      </c>
      <c r="B2" s="15" t="s">
        <v>10</v>
      </c>
      <c r="C2" s="5">
        <v>143</v>
      </c>
      <c r="D2" s="16">
        <f>C2/109</f>
        <v>1.3119266055045871</v>
      </c>
      <c r="E2" s="5">
        <v>613.96</v>
      </c>
      <c r="F2" s="4">
        <f>E2/C2</f>
        <v>4.293426573426574</v>
      </c>
      <c r="G2" s="5" t="s">
        <v>11</v>
      </c>
      <c r="H2" s="5" t="s">
        <v>11</v>
      </c>
      <c r="I2" s="11" t="s">
        <v>12</v>
      </c>
      <c r="J2" t="s">
        <v>13</v>
      </c>
    </row>
    <row r="3" spans="1:10">
      <c r="A3" s="3" t="s">
        <v>14</v>
      </c>
      <c r="B3" s="15" t="s">
        <v>15</v>
      </c>
      <c r="C3" s="5" t="s">
        <v>16</v>
      </c>
      <c r="D3" s="6" t="s">
        <v>17</v>
      </c>
      <c r="E3" s="18"/>
      <c r="F3" s="4"/>
      <c r="G3" s="5" t="s">
        <v>11</v>
      </c>
      <c r="H3" s="12" t="s">
        <v>11</v>
      </c>
      <c r="I3" s="13" t="s">
        <v>18</v>
      </c>
      <c r="J3" s="8"/>
    </row>
    <row r="4" spans="1:10">
      <c r="A4" s="3" t="s">
        <v>19</v>
      </c>
      <c r="B4" s="15" t="s">
        <v>20</v>
      </c>
      <c r="C4" s="5">
        <v>832</v>
      </c>
      <c r="D4" s="4">
        <f>C4/579</f>
        <v>1.4369602763385148</v>
      </c>
      <c r="E4" s="5">
        <v>3372.26</v>
      </c>
      <c r="F4" s="4">
        <f>E4/C4</f>
        <v>4.0531971153846156</v>
      </c>
      <c r="G4" s="5" t="s">
        <v>11</v>
      </c>
      <c r="H4" s="5" t="s">
        <v>11</v>
      </c>
      <c r="I4" s="14" t="s">
        <v>21</v>
      </c>
      <c r="J4" t="s">
        <v>13</v>
      </c>
    </row>
    <row r="5" spans="1:10">
      <c r="A5" s="3" t="s">
        <v>22</v>
      </c>
      <c r="B5" s="15" t="s">
        <v>23</v>
      </c>
      <c r="C5" s="5">
        <v>1362</v>
      </c>
      <c r="D5" s="4">
        <f>C5/803</f>
        <v>1.6961394769613947</v>
      </c>
      <c r="E5" s="5">
        <v>2242.21</v>
      </c>
      <c r="F5" s="4">
        <f>E5/C5</f>
        <v>1.6462628487518356</v>
      </c>
      <c r="G5" s="5" t="s">
        <v>11</v>
      </c>
      <c r="H5" s="5" t="s">
        <v>11</v>
      </c>
      <c r="I5" s="5" t="s">
        <v>24</v>
      </c>
      <c r="J5" t="s">
        <v>13</v>
      </c>
    </row>
    <row r="6" spans="1:10">
      <c r="A6" s="3" t="s">
        <v>25</v>
      </c>
      <c r="B6" s="15" t="s">
        <v>26</v>
      </c>
      <c r="C6" s="5">
        <v>1254</v>
      </c>
      <c r="D6" s="16">
        <f>C6/1020</f>
        <v>1.2294117647058824</v>
      </c>
      <c r="E6" s="5">
        <v>1926.82</v>
      </c>
      <c r="F6" s="4">
        <f>E6/C6</f>
        <v>1.5365390749601275</v>
      </c>
      <c r="G6" s="5" t="s">
        <v>11</v>
      </c>
      <c r="H6" s="5" t="s">
        <v>11</v>
      </c>
      <c r="I6" s="5" t="s">
        <v>27</v>
      </c>
      <c r="J6" t="s">
        <v>13</v>
      </c>
    </row>
    <row r="7" spans="1:10">
      <c r="A7" s="3" t="s">
        <v>28</v>
      </c>
      <c r="B7" s="15" t="s">
        <v>29</v>
      </c>
      <c r="C7" s="5">
        <v>1980</v>
      </c>
      <c r="D7" s="4">
        <f>C7/1586</f>
        <v>1.2484237074401008</v>
      </c>
      <c r="E7" s="5">
        <v>3680.99</v>
      </c>
      <c r="F7" s="4">
        <f>E7/C7</f>
        <v>1.8590858585858585</v>
      </c>
      <c r="G7" s="5" t="s">
        <v>11</v>
      </c>
      <c r="H7" s="5" t="s">
        <v>11</v>
      </c>
      <c r="I7" s="5" t="s">
        <v>30</v>
      </c>
      <c r="J7" t="s">
        <v>13</v>
      </c>
    </row>
    <row r="8" spans="1:10">
      <c r="A8" s="3" t="s">
        <v>31</v>
      </c>
      <c r="B8" s="15" t="s">
        <v>32</v>
      </c>
      <c r="C8" s="5">
        <v>2224</v>
      </c>
      <c r="D8" s="16">
        <f>C8/2172</f>
        <v>1.0239410681399632</v>
      </c>
      <c r="E8" s="18"/>
      <c r="F8" s="4"/>
      <c r="G8" s="5" t="s">
        <v>11</v>
      </c>
      <c r="H8" s="5" t="s">
        <v>11</v>
      </c>
      <c r="I8" s="5" t="s">
        <v>18</v>
      </c>
    </row>
    <row r="9" spans="1:10">
      <c r="A9" s="3" t="s">
        <v>33</v>
      </c>
      <c r="B9" s="15" t="s">
        <v>34</v>
      </c>
      <c r="C9" s="5">
        <v>48</v>
      </c>
      <c r="D9" s="17">
        <f>C9/55</f>
        <v>0.87272727272727268</v>
      </c>
      <c r="E9" s="5">
        <v>89.17</v>
      </c>
      <c r="F9" s="4">
        <f>E9/C9</f>
        <v>1.8577083333333333</v>
      </c>
      <c r="G9" s="5" t="s">
        <v>11</v>
      </c>
      <c r="H9" s="5" t="s">
        <v>11</v>
      </c>
      <c r="I9" s="5" t="s">
        <v>35</v>
      </c>
      <c r="J9" t="s">
        <v>13</v>
      </c>
    </row>
    <row r="10" spans="1:10">
      <c r="A10" s="3" t="s">
        <v>36</v>
      </c>
      <c r="B10" s="15" t="s">
        <v>37</v>
      </c>
      <c r="C10" s="5">
        <v>1759</v>
      </c>
      <c r="D10" s="4">
        <f>C10/1585</f>
        <v>1.1097791798107255</v>
      </c>
      <c r="E10" s="19"/>
      <c r="F10" s="4"/>
      <c r="G10" s="5" t="s">
        <v>11</v>
      </c>
      <c r="H10" s="5" t="s">
        <v>11</v>
      </c>
      <c r="I10" s="5" t="s">
        <v>38</v>
      </c>
    </row>
    <row r="11" spans="1:10">
      <c r="C11" s="7"/>
      <c r="D11" s="7"/>
      <c r="E11" s="7"/>
      <c r="F11" s="7"/>
    </row>
    <row r="12" spans="1:10">
      <c r="C12" s="7"/>
      <c r="D12" s="7"/>
      <c r="E12" s="7"/>
      <c r="F12" s="7"/>
    </row>
    <row r="13" spans="1:10" ht="45" customHeight="1">
      <c r="A13" s="129" t="s">
        <v>0</v>
      </c>
      <c r="B13" s="127" t="s">
        <v>1</v>
      </c>
      <c r="C13" s="128" t="s">
        <v>39</v>
      </c>
      <c r="D13" s="129" t="s">
        <v>40</v>
      </c>
      <c r="E13" s="106" t="s">
        <v>41</v>
      </c>
      <c r="F13" s="129" t="s">
        <v>42</v>
      </c>
      <c r="G13" s="127" t="s">
        <v>6</v>
      </c>
      <c r="H13" s="127" t="s">
        <v>7</v>
      </c>
      <c r="I13" s="130" t="s">
        <v>8</v>
      </c>
    </row>
    <row r="14" spans="1:10" ht="15" customHeight="1">
      <c r="A14" s="3" t="s">
        <v>9</v>
      </c>
      <c r="B14" s="15" t="s">
        <v>10</v>
      </c>
      <c r="C14" s="5">
        <v>144</v>
      </c>
      <c r="D14" s="16">
        <f>C14/109</f>
        <v>1.3211009174311927</v>
      </c>
      <c r="E14" s="5">
        <v>332.02</v>
      </c>
      <c r="F14" s="4">
        <f>E14/C14</f>
        <v>2.3056944444444443</v>
      </c>
      <c r="G14" s="5" t="s">
        <v>11</v>
      </c>
      <c r="H14" s="5" t="s">
        <v>11</v>
      </c>
      <c r="I14" s="11" t="s">
        <v>12</v>
      </c>
    </row>
    <row r="15" spans="1:10" ht="15" customHeight="1">
      <c r="A15" s="3" t="s">
        <v>14</v>
      </c>
      <c r="B15" s="15" t="s">
        <v>15</v>
      </c>
      <c r="C15" s="5" t="s">
        <v>16</v>
      </c>
      <c r="D15" s="6" t="s">
        <v>17</v>
      </c>
      <c r="E15" s="5">
        <v>592.23</v>
      </c>
      <c r="F15" s="4">
        <f>E15/286</f>
        <v>2.070734265734266</v>
      </c>
      <c r="G15" s="5" t="s">
        <v>11</v>
      </c>
      <c r="H15" s="12" t="s">
        <v>11</v>
      </c>
      <c r="I15" s="13" t="s">
        <v>18</v>
      </c>
    </row>
    <row r="16" spans="1:10" ht="15" customHeight="1">
      <c r="A16" s="3" t="s">
        <v>19</v>
      </c>
      <c r="B16" s="15" t="s">
        <v>20</v>
      </c>
      <c r="C16" s="5">
        <v>728</v>
      </c>
      <c r="D16" s="4">
        <f>C16/579</f>
        <v>1.2573402417962003</v>
      </c>
      <c r="E16" s="5">
        <v>2595.58</v>
      </c>
      <c r="F16" s="4">
        <f>E16/C16</f>
        <v>3.5653571428571427</v>
      </c>
      <c r="G16" s="5" t="s">
        <v>11</v>
      </c>
      <c r="H16" s="5" t="s">
        <v>11</v>
      </c>
      <c r="I16" s="14" t="s">
        <v>21</v>
      </c>
    </row>
    <row r="17" spans="1:9" ht="15" customHeight="1">
      <c r="A17" s="3" t="s">
        <v>22</v>
      </c>
      <c r="B17" s="15" t="s">
        <v>23</v>
      </c>
      <c r="C17" s="5">
        <v>1223</v>
      </c>
      <c r="D17" s="4">
        <f>C17/803</f>
        <v>1.5230386052303861</v>
      </c>
      <c r="E17" s="5">
        <v>1668.924</v>
      </c>
      <c r="F17" s="4">
        <f>E17/C17</f>
        <v>1.3646148814390842</v>
      </c>
      <c r="G17" s="5" t="s">
        <v>11</v>
      </c>
      <c r="H17" s="5" t="s">
        <v>11</v>
      </c>
      <c r="I17" s="5" t="s">
        <v>24</v>
      </c>
    </row>
    <row r="18" spans="1:9">
      <c r="A18" s="3" t="s">
        <v>25</v>
      </c>
      <c r="B18" s="15" t="s">
        <v>26</v>
      </c>
      <c r="C18" s="5">
        <v>1120</v>
      </c>
      <c r="D18" s="16">
        <f>C18/1020</f>
        <v>1.0980392156862746</v>
      </c>
      <c r="E18" s="5">
        <v>1381.2249999999999</v>
      </c>
      <c r="F18" s="4">
        <f>E18/C18</f>
        <v>1.2332366071428571</v>
      </c>
      <c r="G18" s="5" t="s">
        <v>11</v>
      </c>
      <c r="H18" s="5" t="s">
        <v>11</v>
      </c>
      <c r="I18" s="5" t="s">
        <v>27</v>
      </c>
    </row>
    <row r="19" spans="1:9" ht="15" customHeight="1">
      <c r="A19" s="3" t="s">
        <v>28</v>
      </c>
      <c r="B19" s="15" t="s">
        <v>29</v>
      </c>
      <c r="C19" s="5">
        <v>1937</v>
      </c>
      <c r="D19" s="4">
        <f>C19/1586</f>
        <v>1.221311475409836</v>
      </c>
      <c r="E19" s="5">
        <v>2971</v>
      </c>
      <c r="F19" s="4">
        <f>E19/C19</f>
        <v>1.5338151781104801</v>
      </c>
      <c r="G19" s="5" t="s">
        <v>11</v>
      </c>
      <c r="H19" s="5" t="s">
        <v>11</v>
      </c>
      <c r="I19" s="5" t="s">
        <v>30</v>
      </c>
    </row>
    <row r="20" spans="1:9" ht="15" customHeight="1">
      <c r="A20" s="3" t="s">
        <v>31</v>
      </c>
      <c r="B20" s="15" t="s">
        <v>32</v>
      </c>
      <c r="C20" s="5">
        <v>2139</v>
      </c>
      <c r="D20" s="16">
        <f>C20/2172</f>
        <v>0.98480662983425415</v>
      </c>
      <c r="E20" s="5">
        <v>3022.69</v>
      </c>
      <c r="F20" s="4">
        <f>E20/C20</f>
        <v>1.4131323048153344</v>
      </c>
      <c r="G20" s="5" t="s">
        <v>11</v>
      </c>
      <c r="H20" s="5" t="s">
        <v>11</v>
      </c>
      <c r="I20" s="5" t="s">
        <v>18</v>
      </c>
    </row>
    <row r="21" spans="1:9" ht="15" customHeight="1">
      <c r="A21" s="3" t="s">
        <v>33</v>
      </c>
      <c r="B21" s="15" t="s">
        <v>34</v>
      </c>
      <c r="C21" s="5" t="s">
        <v>43</v>
      </c>
      <c r="D21" s="17">
        <f>48/55</f>
        <v>0.87272727272727268</v>
      </c>
      <c r="E21" s="5">
        <v>135.29</v>
      </c>
      <c r="F21" s="4">
        <f>E21/48</f>
        <v>2.8185416666666665</v>
      </c>
      <c r="G21" s="5" t="s">
        <v>11</v>
      </c>
      <c r="H21" s="5" t="s">
        <v>11</v>
      </c>
      <c r="I21" s="5" t="s">
        <v>35</v>
      </c>
    </row>
    <row r="22" spans="1:9" ht="15" customHeight="1">
      <c r="A22" s="3" t="s">
        <v>36</v>
      </c>
      <c r="B22" s="15" t="s">
        <v>37</v>
      </c>
      <c r="C22" s="5">
        <v>1651</v>
      </c>
      <c r="D22" s="4">
        <f>C22/1585</f>
        <v>1.0416403785488959</v>
      </c>
      <c r="E22" s="19"/>
      <c r="F22" s="4"/>
      <c r="G22" s="5" t="s">
        <v>11</v>
      </c>
      <c r="H22" s="5" t="s">
        <v>11</v>
      </c>
      <c r="I22" s="5" t="s">
        <v>38</v>
      </c>
    </row>
    <row r="23" spans="1:9" ht="15" customHeight="1">
      <c r="A23" s="131"/>
      <c r="B23" s="132"/>
      <c r="G23" s="133"/>
      <c r="H23" s="133"/>
      <c r="I23" s="133"/>
    </row>
    <row r="25" spans="1:9" ht="41.25" customHeight="1">
      <c r="A25" s="129" t="s">
        <v>44</v>
      </c>
      <c r="B25" s="127" t="s">
        <v>1</v>
      </c>
      <c r="C25" s="128" t="s">
        <v>39</v>
      </c>
      <c r="D25" s="129" t="s">
        <v>40</v>
      </c>
      <c r="E25" s="106" t="s">
        <v>45</v>
      </c>
      <c r="F25" s="129" t="s">
        <v>46</v>
      </c>
      <c r="G25" s="127" t="s">
        <v>6</v>
      </c>
      <c r="H25" s="127" t="s">
        <v>7</v>
      </c>
      <c r="I25" s="130" t="s">
        <v>8</v>
      </c>
    </row>
    <row r="26" spans="1:9" ht="15" customHeight="1">
      <c r="A26" s="3" t="s">
        <v>9</v>
      </c>
      <c r="B26" s="15" t="s">
        <v>10</v>
      </c>
      <c r="C26" s="5">
        <v>144</v>
      </c>
      <c r="D26" s="16">
        <f>C26/109</f>
        <v>1.3211009174311927</v>
      </c>
      <c r="E26" s="5"/>
      <c r="F26" s="4">
        <f>E26/C26</f>
        <v>0</v>
      </c>
      <c r="G26" s="5" t="s">
        <v>11</v>
      </c>
      <c r="H26" s="5" t="s">
        <v>11</v>
      </c>
      <c r="I26" s="11" t="s">
        <v>12</v>
      </c>
    </row>
    <row r="27" spans="1:9" ht="15" customHeight="1">
      <c r="A27" s="3" t="s">
        <v>14</v>
      </c>
      <c r="B27" s="15" t="s">
        <v>15</v>
      </c>
      <c r="C27" s="5" t="s">
        <v>16</v>
      </c>
      <c r="D27" s="6" t="s">
        <v>17</v>
      </c>
      <c r="E27" s="5"/>
      <c r="F27" s="4">
        <f>E27/286</f>
        <v>0</v>
      </c>
      <c r="G27" s="5" t="s">
        <v>11</v>
      </c>
      <c r="H27" s="12" t="s">
        <v>11</v>
      </c>
      <c r="I27" s="13" t="s">
        <v>18</v>
      </c>
    </row>
    <row r="28" spans="1:9" ht="15" customHeight="1">
      <c r="A28" s="3" t="s">
        <v>19</v>
      </c>
      <c r="B28" s="15" t="s">
        <v>20</v>
      </c>
      <c r="C28" s="5">
        <v>728</v>
      </c>
      <c r="D28" s="4">
        <f>C28/579</f>
        <v>1.2573402417962003</v>
      </c>
      <c r="E28" s="5"/>
      <c r="F28" s="4">
        <f>E28/C28</f>
        <v>0</v>
      </c>
      <c r="G28" s="5" t="s">
        <v>11</v>
      </c>
      <c r="H28" s="5" t="s">
        <v>11</v>
      </c>
      <c r="I28" s="14" t="s">
        <v>21</v>
      </c>
    </row>
    <row r="29" spans="1:9" ht="15" customHeight="1">
      <c r="A29" s="3" t="s">
        <v>22</v>
      </c>
      <c r="B29" s="15" t="s">
        <v>23</v>
      </c>
      <c r="C29" s="5">
        <v>1223</v>
      </c>
      <c r="D29" s="4">
        <f>C29/803</f>
        <v>1.5230386052303861</v>
      </c>
      <c r="E29" s="5"/>
      <c r="F29" s="4">
        <f>E29/C29</f>
        <v>0</v>
      </c>
      <c r="G29" s="5" t="s">
        <v>11</v>
      </c>
      <c r="H29" s="5" t="s">
        <v>11</v>
      </c>
      <c r="I29" s="5" t="s">
        <v>24</v>
      </c>
    </row>
    <row r="30" spans="1:9" ht="15" customHeight="1">
      <c r="A30" s="3" t="s">
        <v>25</v>
      </c>
      <c r="B30" s="15" t="s">
        <v>26</v>
      </c>
      <c r="C30" s="5">
        <v>1120</v>
      </c>
      <c r="D30" s="16">
        <f>C30/1020</f>
        <v>1.0980392156862746</v>
      </c>
      <c r="E30" s="5"/>
      <c r="F30" s="4">
        <f>E30/C30</f>
        <v>0</v>
      </c>
      <c r="G30" s="5" t="s">
        <v>11</v>
      </c>
      <c r="H30" s="5" t="s">
        <v>11</v>
      </c>
      <c r="I30" s="5" t="s">
        <v>27</v>
      </c>
    </row>
    <row r="31" spans="1:9" ht="15" customHeight="1">
      <c r="A31" s="3" t="s">
        <v>28</v>
      </c>
      <c r="B31" s="15" t="s">
        <v>29</v>
      </c>
      <c r="C31" s="5">
        <v>1937</v>
      </c>
      <c r="D31" s="4">
        <f>C31/1586</f>
        <v>1.221311475409836</v>
      </c>
      <c r="E31" s="5"/>
      <c r="F31" s="4">
        <f>E31/C31</f>
        <v>0</v>
      </c>
      <c r="G31" s="5" t="s">
        <v>11</v>
      </c>
      <c r="H31" s="5" t="s">
        <v>11</v>
      </c>
      <c r="I31" s="5" t="s">
        <v>30</v>
      </c>
    </row>
    <row r="32" spans="1:9" ht="15" customHeight="1">
      <c r="A32" s="3" t="s">
        <v>31</v>
      </c>
      <c r="B32" s="15" t="s">
        <v>32</v>
      </c>
      <c r="C32" s="5">
        <v>2139</v>
      </c>
      <c r="D32" s="16">
        <f>C32/2172</f>
        <v>0.98480662983425415</v>
      </c>
      <c r="E32" s="5"/>
      <c r="F32" s="4">
        <f>E32/C32</f>
        <v>0</v>
      </c>
      <c r="G32" s="5" t="s">
        <v>11</v>
      </c>
      <c r="H32" s="5" t="s">
        <v>11</v>
      </c>
      <c r="I32" s="5" t="s">
        <v>18</v>
      </c>
    </row>
    <row r="33" spans="1:9" ht="15" customHeight="1">
      <c r="A33" s="3" t="s">
        <v>33</v>
      </c>
      <c r="B33" s="15" t="s">
        <v>34</v>
      </c>
      <c r="C33" s="5" t="s">
        <v>43</v>
      </c>
      <c r="D33" s="17">
        <f>48/55</f>
        <v>0.87272727272727268</v>
      </c>
      <c r="E33" s="5"/>
      <c r="F33" s="4">
        <f>E33/48</f>
        <v>0</v>
      </c>
      <c r="G33" s="5" t="s">
        <v>11</v>
      </c>
      <c r="H33" s="5" t="s">
        <v>11</v>
      </c>
      <c r="I33" s="5" t="s">
        <v>35</v>
      </c>
    </row>
    <row r="34" spans="1:9" ht="15" customHeight="1">
      <c r="A34" s="3" t="s">
        <v>36</v>
      </c>
      <c r="B34" s="15" t="s">
        <v>37</v>
      </c>
      <c r="C34" s="5">
        <v>1651</v>
      </c>
      <c r="D34" s="4">
        <f>C34/1585</f>
        <v>1.0416403785488959</v>
      </c>
      <c r="E34" s="19"/>
      <c r="F34" s="4"/>
      <c r="G34" s="5" t="s">
        <v>11</v>
      </c>
      <c r="H34" s="5" t="s">
        <v>11</v>
      </c>
      <c r="I34" s="5" t="s">
        <v>38</v>
      </c>
    </row>
  </sheetData>
  <conditionalFormatting sqref="F2:F10">
    <cfRule type="cellIs" dxfId="61" priority="5" operator="lessThan">
      <formula>1.35</formula>
    </cfRule>
    <cfRule type="cellIs" dxfId="60" priority="6" operator="greaterThan">
      <formula>1.35</formula>
    </cfRule>
  </conditionalFormatting>
  <conditionalFormatting sqref="F14:F22">
    <cfRule type="cellIs" dxfId="59" priority="3" operator="lessThan">
      <formula>1.35</formula>
    </cfRule>
    <cfRule type="cellIs" dxfId="58" priority="4" operator="greaterThan">
      <formula>1.35</formula>
    </cfRule>
  </conditionalFormatting>
  <conditionalFormatting sqref="F26:F34">
    <cfRule type="cellIs" dxfId="57" priority="1" operator="lessThan">
      <formula>1.35</formula>
    </cfRule>
    <cfRule type="cellIs" dxfId="56" priority="2" operator="greaterThan">
      <formula>1.35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B750-A777-468B-9AC7-C527CBF181C6}">
  <dimension ref="A2:AB62"/>
  <sheetViews>
    <sheetView tabSelected="1" zoomScale="90" zoomScaleNormal="90" workbookViewId="0">
      <selection activeCell="E7" sqref="E7:F31"/>
    </sheetView>
  </sheetViews>
  <sheetFormatPr defaultRowHeight="15"/>
  <cols>
    <col min="1" max="1" width="26.140625" customWidth="1"/>
    <col min="2" max="2" width="12.5703125" style="7" customWidth="1"/>
    <col min="3" max="3" width="10.28515625" style="7" customWidth="1"/>
    <col min="4" max="4" width="11.28515625" style="7" customWidth="1"/>
    <col min="5" max="6" width="9.140625" style="7"/>
    <col min="7" max="7" width="10.5703125" style="7" customWidth="1"/>
    <col min="8" max="9" width="8.85546875" style="7" customWidth="1"/>
    <col min="10" max="10" width="10.42578125" style="7" customWidth="1"/>
    <col min="11" max="12" width="9.140625" style="7" customWidth="1"/>
    <col min="13" max="13" width="10.140625" style="7" customWidth="1"/>
    <col min="14" max="14" width="9.140625" customWidth="1"/>
    <col min="16" max="16" width="10.140625" customWidth="1"/>
    <col min="19" max="21" width="9.5703125" customWidth="1"/>
    <col min="27" max="27" width="84.28515625" bestFit="1" customWidth="1"/>
    <col min="28" max="28" width="28.7109375" customWidth="1"/>
  </cols>
  <sheetData>
    <row r="2" spans="1:28" ht="33.75" hidden="1" customHeight="1"/>
    <row r="3" spans="1:28" ht="45">
      <c r="A3" s="104" t="s">
        <v>47</v>
      </c>
      <c r="B3" s="22" t="s">
        <v>48</v>
      </c>
      <c r="C3" s="22" t="s">
        <v>11</v>
      </c>
      <c r="D3" s="22" t="s">
        <v>11</v>
      </c>
      <c r="E3" s="22" t="s">
        <v>11</v>
      </c>
      <c r="F3" s="22" t="s">
        <v>11</v>
      </c>
      <c r="G3" s="22" t="s">
        <v>11</v>
      </c>
      <c r="H3" s="22" t="s">
        <v>11</v>
      </c>
      <c r="I3" s="22" t="s">
        <v>11</v>
      </c>
      <c r="J3" s="22" t="s">
        <v>11</v>
      </c>
      <c r="K3" s="22" t="s">
        <v>11</v>
      </c>
      <c r="L3" s="22" t="s">
        <v>11</v>
      </c>
      <c r="M3" s="22" t="s">
        <v>11</v>
      </c>
    </row>
    <row r="4" spans="1:28" ht="30">
      <c r="A4" s="134" t="s">
        <v>49</v>
      </c>
      <c r="B4" s="23" t="s">
        <v>11</v>
      </c>
      <c r="C4" s="23" t="s">
        <v>11</v>
      </c>
      <c r="D4" s="23" t="s">
        <v>11</v>
      </c>
      <c r="E4" s="23" t="s">
        <v>11</v>
      </c>
      <c r="F4" s="23" t="s">
        <v>11</v>
      </c>
      <c r="G4" s="23" t="s">
        <v>11</v>
      </c>
      <c r="H4" s="23" t="s">
        <v>11</v>
      </c>
      <c r="I4" s="23" t="s">
        <v>11</v>
      </c>
      <c r="J4" s="23" t="s">
        <v>11</v>
      </c>
      <c r="K4" s="23" t="s">
        <v>11</v>
      </c>
      <c r="L4" s="23" t="s">
        <v>11</v>
      </c>
      <c r="M4" s="23" t="s">
        <v>11</v>
      </c>
    </row>
    <row r="5" spans="1:28" ht="30.6" customHeight="1">
      <c r="A5" s="33" t="s">
        <v>50</v>
      </c>
      <c r="B5" s="137" t="s">
        <v>51</v>
      </c>
      <c r="C5" s="138"/>
      <c r="D5" s="37" t="s">
        <v>52</v>
      </c>
      <c r="E5" s="137" t="s">
        <v>53</v>
      </c>
      <c r="F5" s="138"/>
      <c r="G5" s="37" t="s">
        <v>52</v>
      </c>
      <c r="H5" s="139" t="s">
        <v>54</v>
      </c>
      <c r="I5" s="138"/>
      <c r="J5" s="37" t="s">
        <v>52</v>
      </c>
      <c r="K5" s="137" t="s">
        <v>55</v>
      </c>
      <c r="L5" s="138"/>
      <c r="M5" s="37" t="s">
        <v>52</v>
      </c>
      <c r="N5" s="139" t="s">
        <v>56</v>
      </c>
      <c r="O5" s="138"/>
      <c r="P5" s="37" t="s">
        <v>52</v>
      </c>
      <c r="Q5" s="135" t="s">
        <v>57</v>
      </c>
      <c r="R5" s="136"/>
      <c r="S5" s="71" t="s">
        <v>52</v>
      </c>
      <c r="T5" s="135" t="s">
        <v>58</v>
      </c>
      <c r="U5" s="136"/>
      <c r="V5" s="71" t="s">
        <v>52</v>
      </c>
      <c r="W5" s="135" t="s">
        <v>59</v>
      </c>
      <c r="X5" s="136"/>
      <c r="Y5" s="71" t="s">
        <v>52</v>
      </c>
      <c r="Z5" s="125"/>
    </row>
    <row r="6" spans="1:28" ht="35.1" customHeight="1">
      <c r="A6" s="52" t="s">
        <v>11</v>
      </c>
      <c r="B6" s="53" t="s">
        <v>60</v>
      </c>
      <c r="C6" s="54" t="s">
        <v>61</v>
      </c>
      <c r="D6" s="55" t="s">
        <v>62</v>
      </c>
      <c r="E6" s="53" t="s">
        <v>60</v>
      </c>
      <c r="F6" s="54" t="s">
        <v>61</v>
      </c>
      <c r="G6" s="55" t="s">
        <v>62</v>
      </c>
      <c r="H6" s="53" t="s">
        <v>60</v>
      </c>
      <c r="I6" s="54" t="s">
        <v>61</v>
      </c>
      <c r="J6" s="82" t="s">
        <v>62</v>
      </c>
      <c r="K6" s="53" t="s">
        <v>60</v>
      </c>
      <c r="L6" s="54" t="s">
        <v>61</v>
      </c>
      <c r="M6" s="55" t="s">
        <v>62</v>
      </c>
      <c r="N6" s="53" t="s">
        <v>60</v>
      </c>
      <c r="O6" s="54" t="s">
        <v>61</v>
      </c>
      <c r="P6" s="55" t="s">
        <v>62</v>
      </c>
      <c r="Q6" s="72" t="s">
        <v>60</v>
      </c>
      <c r="R6" s="54" t="s">
        <v>61</v>
      </c>
      <c r="S6" s="73" t="s">
        <v>62</v>
      </c>
      <c r="T6" s="72" t="s">
        <v>60</v>
      </c>
      <c r="U6" s="54" t="s">
        <v>61</v>
      </c>
      <c r="V6" s="73" t="s">
        <v>62</v>
      </c>
      <c r="W6" s="72" t="s">
        <v>60</v>
      </c>
      <c r="X6" s="54" t="s">
        <v>61</v>
      </c>
      <c r="Y6" s="73" t="s">
        <v>62</v>
      </c>
      <c r="Z6" s="125"/>
    </row>
    <row r="7" spans="1:28" ht="15.75">
      <c r="A7" s="47" t="s">
        <v>63</v>
      </c>
      <c r="B7" s="49">
        <v>6.44</v>
      </c>
      <c r="C7" s="50">
        <v>7.33</v>
      </c>
      <c r="D7" s="51" t="s">
        <v>11</v>
      </c>
      <c r="E7" s="49">
        <v>3.68</v>
      </c>
      <c r="F7" s="50">
        <v>0.04</v>
      </c>
      <c r="G7" s="51"/>
      <c r="H7" s="123">
        <v>88.5</v>
      </c>
      <c r="I7" s="50">
        <v>37.380000000000003</v>
      </c>
      <c r="J7" s="51" t="s">
        <v>11</v>
      </c>
      <c r="K7" s="49">
        <v>79.8</v>
      </c>
      <c r="L7" s="50">
        <v>78.84</v>
      </c>
      <c r="M7" s="51" t="s">
        <v>11</v>
      </c>
      <c r="N7" s="49">
        <v>42.64</v>
      </c>
      <c r="O7" s="50">
        <v>46.91</v>
      </c>
      <c r="P7" s="51" t="s">
        <v>11</v>
      </c>
      <c r="Q7" s="74">
        <v>98.02</v>
      </c>
      <c r="R7" s="50">
        <v>93</v>
      </c>
      <c r="S7" s="83" t="s">
        <v>11</v>
      </c>
      <c r="T7" s="74">
        <v>99.24</v>
      </c>
      <c r="U7" s="50">
        <v>92.99</v>
      </c>
      <c r="V7" s="83" t="s">
        <v>11</v>
      </c>
      <c r="W7" s="74">
        <v>47.53</v>
      </c>
      <c r="X7" s="50">
        <v>20.079999999999998</v>
      </c>
      <c r="Y7" s="83" t="s">
        <v>11</v>
      </c>
      <c r="Z7" s="126"/>
      <c r="AA7" s="108" t="s">
        <v>64</v>
      </c>
      <c r="AB7" s="108" t="s">
        <v>65</v>
      </c>
    </row>
    <row r="8" spans="1:28" ht="15.75">
      <c r="A8" s="35" t="s">
        <v>66</v>
      </c>
      <c r="B8" s="27">
        <v>4.13</v>
      </c>
      <c r="C8" s="21">
        <v>0</v>
      </c>
      <c r="D8" s="38"/>
      <c r="E8" s="27">
        <v>0.61</v>
      </c>
      <c r="F8" s="21">
        <v>0</v>
      </c>
      <c r="G8" s="38"/>
      <c r="H8" s="27">
        <v>7.2</v>
      </c>
      <c r="I8" s="21">
        <v>0</v>
      </c>
      <c r="J8" s="38"/>
      <c r="K8" s="27">
        <v>11.54</v>
      </c>
      <c r="L8" s="21">
        <v>0</v>
      </c>
      <c r="M8" s="38"/>
      <c r="N8" s="27">
        <v>9.68</v>
      </c>
      <c r="O8" s="21">
        <v>0</v>
      </c>
      <c r="P8" s="38"/>
      <c r="Q8" s="75">
        <v>1.98</v>
      </c>
      <c r="R8" s="21">
        <v>0</v>
      </c>
      <c r="S8" s="84"/>
      <c r="T8" s="75">
        <v>0.76</v>
      </c>
      <c r="U8" s="21">
        <v>0</v>
      </c>
      <c r="V8" s="84"/>
      <c r="W8" s="75">
        <v>8.1300000000000008</v>
      </c>
      <c r="X8" s="21">
        <v>0</v>
      </c>
      <c r="Y8" s="84"/>
      <c r="Z8" s="126"/>
      <c r="AA8" t="s">
        <v>67</v>
      </c>
      <c r="AB8" s="7" t="s">
        <v>68</v>
      </c>
    </row>
    <row r="9" spans="1:28" ht="15.75" customHeight="1">
      <c r="A9" s="35" t="s">
        <v>69</v>
      </c>
      <c r="B9" s="27">
        <v>0.17</v>
      </c>
      <c r="C9" s="21">
        <v>2.0299999999999998</v>
      </c>
      <c r="D9" s="38"/>
      <c r="E9" s="27">
        <v>0.02</v>
      </c>
      <c r="F9" s="21">
        <v>0.03</v>
      </c>
      <c r="G9" s="38"/>
      <c r="H9" s="27">
        <v>4.3</v>
      </c>
      <c r="I9" s="21">
        <v>30.62</v>
      </c>
      <c r="J9" s="38"/>
      <c r="K9" s="27">
        <v>8.67</v>
      </c>
      <c r="L9" s="21">
        <v>9.77</v>
      </c>
      <c r="M9" s="38"/>
      <c r="N9" s="27">
        <v>4.9800000000000004</v>
      </c>
      <c r="O9" s="21">
        <v>16.850000000000001</v>
      </c>
      <c r="P9" s="38"/>
      <c r="Q9" s="75">
        <v>0</v>
      </c>
      <c r="R9" s="21">
        <v>7</v>
      </c>
      <c r="S9" s="84"/>
      <c r="T9" s="75">
        <v>0</v>
      </c>
      <c r="U9" s="21">
        <v>7.01</v>
      </c>
      <c r="V9" s="84"/>
      <c r="W9" s="75">
        <v>0.23</v>
      </c>
      <c r="X9" s="21">
        <v>4.29</v>
      </c>
      <c r="Y9" s="84"/>
      <c r="Z9" s="126"/>
      <c r="AA9" t="s">
        <v>70</v>
      </c>
      <c r="AB9" s="109" t="s">
        <v>71</v>
      </c>
    </row>
    <row r="10" spans="1:28" ht="19.5" customHeight="1">
      <c r="A10" s="35" t="s">
        <v>72</v>
      </c>
      <c r="B10" s="27">
        <v>0.26</v>
      </c>
      <c r="C10" s="21">
        <v>0.35</v>
      </c>
      <c r="D10" s="38"/>
      <c r="E10" s="27">
        <v>0.12</v>
      </c>
      <c r="F10" s="21">
        <v>0.04</v>
      </c>
      <c r="G10" s="38"/>
      <c r="H10" s="27">
        <v>0</v>
      </c>
      <c r="I10" s="21">
        <v>0</v>
      </c>
      <c r="J10" s="38"/>
      <c r="K10" s="27">
        <v>0</v>
      </c>
      <c r="L10" s="21">
        <v>0</v>
      </c>
      <c r="M10" s="38"/>
      <c r="N10" s="27">
        <v>0.25</v>
      </c>
      <c r="O10" s="21">
        <v>0.3</v>
      </c>
      <c r="P10" s="38"/>
      <c r="Q10" s="75">
        <v>0</v>
      </c>
      <c r="R10" s="21">
        <v>0</v>
      </c>
      <c r="S10" s="84"/>
      <c r="T10" s="75">
        <v>0</v>
      </c>
      <c r="U10" s="21">
        <v>0</v>
      </c>
      <c r="V10" s="84"/>
      <c r="W10" s="75">
        <v>0.88</v>
      </c>
      <c r="X10" s="21">
        <v>0.67</v>
      </c>
      <c r="Y10" s="84"/>
      <c r="Z10" s="126"/>
      <c r="AA10" t="s">
        <v>73</v>
      </c>
      <c r="AB10" s="109" t="s">
        <v>74</v>
      </c>
    </row>
    <row r="11" spans="1:28" ht="19.5" customHeight="1">
      <c r="A11" s="35" t="s">
        <v>75</v>
      </c>
      <c r="B11" s="27">
        <v>0.44</v>
      </c>
      <c r="C11" s="21">
        <v>0.27</v>
      </c>
      <c r="D11" s="38"/>
      <c r="E11" s="27">
        <v>0.05</v>
      </c>
      <c r="F11" s="21">
        <v>0.03</v>
      </c>
      <c r="G11" s="38"/>
      <c r="H11" s="27">
        <v>0</v>
      </c>
      <c r="I11" s="21">
        <v>32</v>
      </c>
      <c r="J11" s="38"/>
      <c r="K11" s="27">
        <v>0</v>
      </c>
      <c r="L11" s="21">
        <v>11.39</v>
      </c>
      <c r="M11" s="38"/>
      <c r="N11" s="27">
        <v>13.55</v>
      </c>
      <c r="O11" s="21">
        <v>0.25</v>
      </c>
      <c r="P11" s="38"/>
      <c r="Q11" s="75">
        <v>0</v>
      </c>
      <c r="R11" s="21">
        <v>0</v>
      </c>
      <c r="S11" s="84"/>
      <c r="T11" s="75">
        <v>0</v>
      </c>
      <c r="U11" s="21">
        <v>0</v>
      </c>
      <c r="V11" s="84"/>
      <c r="W11" s="75">
        <v>0.77</v>
      </c>
      <c r="X11" s="21">
        <v>0.52</v>
      </c>
      <c r="Y11" s="84"/>
      <c r="Z11" s="126"/>
      <c r="AA11" t="s">
        <v>76</v>
      </c>
      <c r="AB11" s="109"/>
    </row>
    <row r="12" spans="1:28" ht="21" customHeight="1">
      <c r="A12" s="35" t="s">
        <v>77</v>
      </c>
      <c r="B12" s="27">
        <v>0.24</v>
      </c>
      <c r="C12" s="21">
        <v>90.02</v>
      </c>
      <c r="D12" s="39" t="s">
        <v>11</v>
      </c>
      <c r="E12" s="27">
        <v>0.02</v>
      </c>
      <c r="F12" s="21">
        <v>0.06</v>
      </c>
      <c r="G12" s="39" t="s">
        <v>11</v>
      </c>
      <c r="H12" s="27">
        <v>0</v>
      </c>
      <c r="I12" s="21">
        <v>0</v>
      </c>
      <c r="J12" s="39" t="s">
        <v>11</v>
      </c>
      <c r="K12" s="42">
        <v>0</v>
      </c>
      <c r="L12" s="21">
        <v>0</v>
      </c>
      <c r="M12" s="39" t="s">
        <v>11</v>
      </c>
      <c r="N12" s="42">
        <v>0.5</v>
      </c>
      <c r="O12" s="21">
        <v>35.69</v>
      </c>
      <c r="P12" s="39" t="s">
        <v>11</v>
      </c>
      <c r="Q12" s="76">
        <v>0</v>
      </c>
      <c r="R12" s="21">
        <v>0</v>
      </c>
      <c r="S12" s="85" t="s">
        <v>11</v>
      </c>
      <c r="T12" s="76">
        <v>0</v>
      </c>
      <c r="U12" s="21">
        <v>0</v>
      </c>
      <c r="V12" s="85" t="s">
        <v>11</v>
      </c>
      <c r="W12" s="76">
        <v>1.02</v>
      </c>
      <c r="X12" s="21">
        <v>74.44</v>
      </c>
      <c r="Y12" s="85" t="s">
        <v>11</v>
      </c>
      <c r="Z12" s="23"/>
      <c r="AA12" s="107" t="s">
        <v>78</v>
      </c>
      <c r="AB12" s="109" t="s">
        <v>79</v>
      </c>
    </row>
    <row r="13" spans="1:28" ht="15.75" customHeight="1">
      <c r="A13" s="43" t="s">
        <v>80</v>
      </c>
      <c r="B13" s="44">
        <v>88.33</v>
      </c>
      <c r="C13" s="45">
        <v>0</v>
      </c>
      <c r="D13" s="46"/>
      <c r="E13" s="44">
        <v>95.52</v>
      </c>
      <c r="F13" s="45">
        <v>99.81</v>
      </c>
      <c r="G13" s="46"/>
      <c r="H13" s="44">
        <v>0</v>
      </c>
      <c r="I13" s="45">
        <v>0</v>
      </c>
      <c r="J13" s="46"/>
      <c r="K13" s="60">
        <v>0</v>
      </c>
      <c r="L13" s="45">
        <v>0</v>
      </c>
      <c r="M13" s="46"/>
      <c r="N13" s="60">
        <v>28.38</v>
      </c>
      <c r="O13" s="45">
        <v>0</v>
      </c>
      <c r="P13" s="46"/>
      <c r="Q13" s="77">
        <v>0</v>
      </c>
      <c r="R13" s="45">
        <v>0</v>
      </c>
      <c r="S13" s="86"/>
      <c r="T13" s="77">
        <v>0</v>
      </c>
      <c r="U13" s="45">
        <v>0</v>
      </c>
      <c r="V13" s="86"/>
      <c r="W13" s="77">
        <v>41.44</v>
      </c>
      <c r="X13" s="45">
        <v>0</v>
      </c>
      <c r="Y13" s="86"/>
      <c r="Z13" s="23"/>
      <c r="AA13" t="s">
        <v>81</v>
      </c>
      <c r="AB13" t="s">
        <v>82</v>
      </c>
    </row>
    <row r="14" spans="1:28" ht="15.75">
      <c r="A14" s="61"/>
      <c r="B14" s="62"/>
      <c r="C14" s="63"/>
      <c r="D14" s="64"/>
      <c r="E14" s="65"/>
      <c r="F14" s="63"/>
      <c r="G14" s="66"/>
      <c r="H14" s="62"/>
      <c r="I14" s="63"/>
      <c r="J14" s="66"/>
      <c r="K14" s="67"/>
      <c r="L14" s="63"/>
      <c r="M14" s="66"/>
      <c r="N14" s="67"/>
      <c r="O14" s="63"/>
      <c r="P14" s="66"/>
      <c r="Q14" s="78"/>
      <c r="R14" s="63"/>
      <c r="S14" s="68"/>
      <c r="T14" s="78"/>
      <c r="U14" s="63"/>
      <c r="V14" s="68"/>
      <c r="W14" s="78"/>
      <c r="X14" s="63"/>
      <c r="Y14" s="68"/>
      <c r="Z14" s="23"/>
      <c r="AA14" t="s">
        <v>83</v>
      </c>
      <c r="AB14" s="109" t="s">
        <v>84</v>
      </c>
    </row>
    <row r="15" spans="1:28" ht="15.75">
      <c r="A15" s="69" t="s">
        <v>85</v>
      </c>
      <c r="B15" s="59">
        <v>4.22</v>
      </c>
      <c r="C15" s="57">
        <v>0.77</v>
      </c>
      <c r="D15" s="48"/>
      <c r="E15" s="58">
        <v>7.0000000000000007E-2</v>
      </c>
      <c r="F15" s="57">
        <v>0</v>
      </c>
      <c r="G15" s="81"/>
      <c r="H15" s="27">
        <v>0</v>
      </c>
      <c r="I15" s="21">
        <v>0</v>
      </c>
      <c r="J15" s="39"/>
      <c r="K15" s="42">
        <v>0</v>
      </c>
      <c r="L15" s="21">
        <v>0</v>
      </c>
      <c r="M15" s="39"/>
      <c r="N15" s="42">
        <v>4.79</v>
      </c>
      <c r="O15" s="21">
        <v>18.27</v>
      </c>
      <c r="P15" s="39"/>
      <c r="Q15" s="76">
        <v>0</v>
      </c>
      <c r="R15" s="21">
        <v>0</v>
      </c>
      <c r="S15" s="85"/>
      <c r="T15" s="76">
        <v>0</v>
      </c>
      <c r="U15" s="21">
        <v>0</v>
      </c>
      <c r="V15" s="85"/>
      <c r="W15" s="76">
        <v>6.35</v>
      </c>
      <c r="X15" s="21">
        <v>13.55</v>
      </c>
      <c r="Y15" s="85"/>
      <c r="Z15" s="23"/>
    </row>
    <row r="16" spans="1:28" ht="15.75">
      <c r="A16" s="70" t="s">
        <v>86</v>
      </c>
      <c r="B16" s="27">
        <v>10.46</v>
      </c>
      <c r="C16" s="21">
        <v>4.75</v>
      </c>
      <c r="D16" s="28"/>
      <c r="E16" s="20">
        <v>0.38</v>
      </c>
      <c r="F16" s="21">
        <v>100</v>
      </c>
      <c r="G16" s="39"/>
      <c r="H16" s="27">
        <v>0</v>
      </c>
      <c r="I16" s="21">
        <v>0</v>
      </c>
      <c r="J16" s="39"/>
      <c r="K16" s="42">
        <v>0</v>
      </c>
      <c r="L16" s="21">
        <v>0</v>
      </c>
      <c r="M16" s="39"/>
      <c r="N16" s="42">
        <v>4.42</v>
      </c>
      <c r="O16" s="21">
        <v>0</v>
      </c>
      <c r="P16" s="39"/>
      <c r="Q16" s="76">
        <v>0</v>
      </c>
      <c r="R16" s="21">
        <v>0</v>
      </c>
      <c r="S16" s="85"/>
      <c r="T16" s="76">
        <v>0</v>
      </c>
      <c r="U16" s="21">
        <v>0</v>
      </c>
      <c r="V16" s="85"/>
      <c r="W16" s="76">
        <v>6.38</v>
      </c>
      <c r="X16" s="21">
        <v>20.13</v>
      </c>
      <c r="Y16" s="85"/>
      <c r="Z16" s="23"/>
    </row>
    <row r="17" spans="1:28" ht="15.75">
      <c r="A17" s="70" t="s">
        <v>87</v>
      </c>
      <c r="B17" s="27">
        <v>54.04</v>
      </c>
      <c r="C17" s="21">
        <v>77.260000000000005</v>
      </c>
      <c r="D17" s="28"/>
      <c r="E17" s="20">
        <v>92.69</v>
      </c>
      <c r="F17" s="21">
        <v>0</v>
      </c>
      <c r="G17" s="39"/>
      <c r="H17" s="27">
        <v>0</v>
      </c>
      <c r="I17" s="21">
        <v>0</v>
      </c>
      <c r="J17" s="39"/>
      <c r="K17" s="42">
        <v>0</v>
      </c>
      <c r="L17" s="21">
        <v>0</v>
      </c>
      <c r="M17" s="39"/>
      <c r="N17" s="42">
        <v>6.11</v>
      </c>
      <c r="O17" s="21">
        <v>0</v>
      </c>
      <c r="P17" s="39"/>
      <c r="Q17" s="76">
        <v>0</v>
      </c>
      <c r="R17" s="21">
        <v>0</v>
      </c>
      <c r="S17" s="85"/>
      <c r="T17" s="76">
        <v>0</v>
      </c>
      <c r="U17" s="21">
        <v>0</v>
      </c>
      <c r="V17" s="85"/>
      <c r="W17" s="76">
        <v>4.1100000000000003</v>
      </c>
      <c r="X17" s="21">
        <v>19.2</v>
      </c>
      <c r="Y17" s="85"/>
      <c r="Z17" s="23"/>
      <c r="AA17" s="108" t="s">
        <v>88</v>
      </c>
      <c r="AB17" s="108" t="s">
        <v>89</v>
      </c>
    </row>
    <row r="18" spans="1:28" ht="16.5" customHeight="1">
      <c r="A18" s="98"/>
      <c r="B18" s="99"/>
      <c r="C18" s="100"/>
      <c r="D18" s="101"/>
      <c r="E18" s="102"/>
      <c r="F18" s="100"/>
      <c r="G18" s="46"/>
      <c r="H18" s="99"/>
      <c r="I18" s="100"/>
      <c r="J18" s="46"/>
      <c r="K18" s="99"/>
      <c r="L18" s="100"/>
      <c r="M18" s="46"/>
      <c r="N18" s="99"/>
      <c r="O18" s="100"/>
      <c r="P18" s="46"/>
      <c r="Q18" s="103"/>
      <c r="R18" s="100"/>
      <c r="S18" s="86"/>
      <c r="T18" s="103"/>
      <c r="U18" s="100"/>
      <c r="V18" s="86"/>
      <c r="W18" s="103"/>
      <c r="X18" s="100"/>
      <c r="Y18" s="86"/>
      <c r="Z18" s="23"/>
      <c r="AA18" t="s">
        <v>90</v>
      </c>
      <c r="AB18" s="7" t="s">
        <v>91</v>
      </c>
    </row>
    <row r="19" spans="1:28">
      <c r="A19" s="33" t="s">
        <v>92</v>
      </c>
      <c r="B19" s="87">
        <v>26.186999999999998</v>
      </c>
      <c r="C19" s="88">
        <v>4.9800000000000004</v>
      </c>
      <c r="D19" s="89">
        <f>B19/C19</f>
        <v>5.2584337349397581</v>
      </c>
      <c r="E19" s="87">
        <v>4.0000000000000001E-3</v>
      </c>
      <c r="F19" s="88">
        <v>0</v>
      </c>
      <c r="G19" s="89">
        <v>0</v>
      </c>
      <c r="H19" s="87">
        <v>377.65</v>
      </c>
      <c r="I19" s="88">
        <v>75.510000000000005</v>
      </c>
      <c r="J19" s="89">
        <f>H19/I19</f>
        <v>5.0013243279035882</v>
      </c>
      <c r="K19" s="87">
        <v>136.096</v>
      </c>
      <c r="L19" s="88">
        <v>151.38</v>
      </c>
      <c r="M19" s="89">
        <f>K19/L19</f>
        <v>0.8990355397014137</v>
      </c>
      <c r="N19" s="87">
        <v>101.479</v>
      </c>
      <c r="O19" s="88">
        <v>223.63</v>
      </c>
      <c r="P19" s="89">
        <f>N19/O19</f>
        <v>0.45378079864061172</v>
      </c>
      <c r="Q19" s="90">
        <v>399.07400000000001</v>
      </c>
      <c r="R19" s="88">
        <v>413.46</v>
      </c>
      <c r="S19" s="91">
        <f>Q19/R19</f>
        <v>0.96520582402167088</v>
      </c>
      <c r="T19" s="90">
        <v>483.93</v>
      </c>
      <c r="U19" s="88">
        <v>480.85</v>
      </c>
      <c r="V19" s="91">
        <f>T19/U19</f>
        <v>1.0064053239055839</v>
      </c>
      <c r="W19" s="90">
        <v>47.984999999999999</v>
      </c>
      <c r="X19" s="88">
        <v>17.54</v>
      </c>
      <c r="Y19" s="91">
        <f>W19/X19</f>
        <v>2.7357468643101481</v>
      </c>
      <c r="AA19" t="s">
        <v>93</v>
      </c>
    </row>
    <row r="20" spans="1:28">
      <c r="A20" s="105" t="s">
        <v>94</v>
      </c>
      <c r="B20" s="30">
        <v>43.881</v>
      </c>
      <c r="C20" s="25">
        <v>14.23</v>
      </c>
      <c r="D20" s="40">
        <f>B20/C20</f>
        <v>3.0836964160224878</v>
      </c>
      <c r="E20" s="30">
        <v>24.885000000000002</v>
      </c>
      <c r="F20" s="25">
        <v>1.55</v>
      </c>
      <c r="G20" s="40">
        <f>E20/F20</f>
        <v>16.054838709677419</v>
      </c>
      <c r="H20" s="30">
        <v>152.626</v>
      </c>
      <c r="I20" s="25">
        <v>111.65</v>
      </c>
      <c r="J20" s="40">
        <f>H20/I20</f>
        <v>1.3670040304523063</v>
      </c>
      <c r="K20" s="30">
        <v>120.56100000000001</v>
      </c>
      <c r="L20" s="25">
        <v>159.38</v>
      </c>
      <c r="M20" s="40">
        <f>K20/L20</f>
        <v>0.75643744509976163</v>
      </c>
      <c r="N20" s="30">
        <v>13.414999999999999</v>
      </c>
      <c r="O20" s="25">
        <v>122.49</v>
      </c>
      <c r="P20" s="40">
        <f>N20/O20</f>
        <v>0.10951914441995264</v>
      </c>
      <c r="Q20" s="79">
        <v>175.06</v>
      </c>
      <c r="R20" s="25">
        <v>186.16</v>
      </c>
      <c r="S20" s="92">
        <f>Q20/R20</f>
        <v>0.94037387193811772</v>
      </c>
      <c r="T20" s="79">
        <v>172.22399999999999</v>
      </c>
      <c r="U20" s="25">
        <v>135.4</v>
      </c>
      <c r="V20" s="92">
        <f>T20/U20</f>
        <v>1.2719645494830132</v>
      </c>
      <c r="W20" s="79">
        <v>69.113</v>
      </c>
      <c r="X20" s="25">
        <v>12.98</v>
      </c>
      <c r="Y20" s="92">
        <f>W20/X20</f>
        <v>5.3245762711864408</v>
      </c>
      <c r="AA20" t="s">
        <v>95</v>
      </c>
    </row>
    <row r="21" spans="1:28" ht="17.45" customHeight="1">
      <c r="A21" s="105" t="s">
        <v>96</v>
      </c>
      <c r="B21" s="30">
        <v>143.6</v>
      </c>
      <c r="C21" s="25">
        <v>67.290000000000006</v>
      </c>
      <c r="D21" s="40">
        <f>B21/C21</f>
        <v>2.1340466636944564</v>
      </c>
      <c r="E21" s="30">
        <v>82.271000000000001</v>
      </c>
      <c r="F21" s="25">
        <v>42.23</v>
      </c>
      <c r="G21" s="40">
        <f>E21/F21</f>
        <v>1.9481648117452051</v>
      </c>
      <c r="H21" s="30">
        <v>664.49699999999996</v>
      </c>
      <c r="I21" s="25">
        <v>266.98</v>
      </c>
      <c r="J21" s="40">
        <f>H21/I21</f>
        <v>2.4889392463854967</v>
      </c>
      <c r="K21" s="30">
        <v>380.10300000000001</v>
      </c>
      <c r="L21" s="25">
        <v>318.3</v>
      </c>
      <c r="M21" s="40">
        <f>K21/L21</f>
        <v>1.1941658812441094</v>
      </c>
      <c r="N21" s="30">
        <v>12.978999999999999</v>
      </c>
      <c r="O21" s="25">
        <v>327.08999999999997</v>
      </c>
      <c r="P21" s="40">
        <f>N21/O21</f>
        <v>3.9680210339661869E-2</v>
      </c>
      <c r="Q21" s="79">
        <v>696.49599999999998</v>
      </c>
      <c r="R21" s="25">
        <v>469.6</v>
      </c>
      <c r="S21" s="92">
        <f>Q21/R21</f>
        <v>1.4831686541737648</v>
      </c>
      <c r="T21" s="79">
        <v>669.64300000000003</v>
      </c>
      <c r="U21" s="25">
        <v>469.01</v>
      </c>
      <c r="V21" s="92">
        <f>T21/U21</f>
        <v>1.4277797914756616</v>
      </c>
      <c r="W21" s="79">
        <v>229.09899999999999</v>
      </c>
      <c r="X21" s="25">
        <v>49.06</v>
      </c>
      <c r="Y21" s="92">
        <f>W21/X21</f>
        <v>4.6697717081125152</v>
      </c>
      <c r="AA21" t="s">
        <v>97</v>
      </c>
      <c r="AB21" t="s">
        <v>98</v>
      </c>
    </row>
    <row r="22" spans="1:28">
      <c r="A22" s="34" t="s">
        <v>99</v>
      </c>
      <c r="B22" s="30">
        <v>5.9030000000000005</v>
      </c>
      <c r="C22" s="25">
        <v>4.45</v>
      </c>
      <c r="D22" s="40">
        <f>B22/C22</f>
        <v>1.3265168539325842</v>
      </c>
      <c r="E22" s="30">
        <v>5.5679999999999996</v>
      </c>
      <c r="F22" s="25">
        <v>4.32</v>
      </c>
      <c r="G22" s="40">
        <f>E22/F22</f>
        <v>1.2888888888888888</v>
      </c>
      <c r="H22" s="30">
        <v>6.1689999999999996</v>
      </c>
      <c r="I22" s="25">
        <v>5.49</v>
      </c>
      <c r="J22" s="40">
        <f>H22/I22</f>
        <v>1.1236794171220399</v>
      </c>
      <c r="K22" s="30">
        <v>6.3489999999999993</v>
      </c>
      <c r="L22" s="25">
        <v>5.68</v>
      </c>
      <c r="M22" s="40">
        <f>K22/L22</f>
        <v>1.1177816901408451</v>
      </c>
      <c r="N22" s="30">
        <v>4.3439999999999994</v>
      </c>
      <c r="O22" s="25">
        <v>7.53</v>
      </c>
      <c r="P22" s="40">
        <f>N22/O22</f>
        <v>0.57689243027888437</v>
      </c>
      <c r="Q22" s="79">
        <v>8.2850000000000001</v>
      </c>
      <c r="R22" s="25">
        <v>7.58</v>
      </c>
      <c r="S22" s="92">
        <f>Q22/R22</f>
        <v>1.0930079155672823</v>
      </c>
      <c r="T22" s="79">
        <v>8.2939999999999987</v>
      </c>
      <c r="U22" s="25">
        <v>62.58</v>
      </c>
      <c r="V22" s="92">
        <f>T22/U22</f>
        <v>0.1325343560242889</v>
      </c>
      <c r="W22" s="79">
        <v>1.234</v>
      </c>
      <c r="X22" s="25">
        <v>3.62</v>
      </c>
      <c r="Y22" s="92">
        <f>W22/X22</f>
        <v>0.34088397790055247</v>
      </c>
      <c r="AA22" t="s">
        <v>100</v>
      </c>
    </row>
    <row r="23" spans="1:28">
      <c r="A23" s="34" t="s">
        <v>101</v>
      </c>
      <c r="B23" s="30">
        <v>0.14400000000000002</v>
      </c>
      <c r="C23" s="25">
        <v>0.05</v>
      </c>
      <c r="D23" s="40">
        <f>B23/C23</f>
        <v>2.8800000000000003</v>
      </c>
      <c r="E23" s="30">
        <v>0.129</v>
      </c>
      <c r="F23" s="25">
        <v>0.05</v>
      </c>
      <c r="G23" s="40">
        <f>E23/F23</f>
        <v>2.58</v>
      </c>
      <c r="H23" s="30">
        <v>0.122</v>
      </c>
      <c r="I23" s="25">
        <v>0.05</v>
      </c>
      <c r="J23" s="40">
        <f>H23/I23</f>
        <v>2.44</v>
      </c>
      <c r="K23" s="30">
        <v>0.13200000000000001</v>
      </c>
      <c r="L23" s="25">
        <v>0.05</v>
      </c>
      <c r="M23" s="40">
        <f>K23/L23</f>
        <v>2.64</v>
      </c>
      <c r="N23" s="124">
        <v>386.39699999999999</v>
      </c>
      <c r="O23" s="25">
        <v>0.05</v>
      </c>
      <c r="P23" s="40">
        <f>N23/O23</f>
        <v>7727.94</v>
      </c>
      <c r="Q23" s="79">
        <v>0.104</v>
      </c>
      <c r="R23" s="25">
        <v>0.05</v>
      </c>
      <c r="S23" s="92">
        <f>Q23/R23</f>
        <v>2.0799999999999996</v>
      </c>
      <c r="T23" s="79">
        <v>0.108</v>
      </c>
      <c r="U23" s="25">
        <v>0.05</v>
      </c>
      <c r="V23" s="92">
        <f>T23/U23</f>
        <v>2.1599999999999997</v>
      </c>
      <c r="W23" s="79">
        <v>-1E-3</v>
      </c>
      <c r="X23" s="25">
        <v>0</v>
      </c>
      <c r="Y23" s="92" t="e">
        <f>W23/X23</f>
        <v>#DIV/0!</v>
      </c>
      <c r="AA23" t="s">
        <v>102</v>
      </c>
      <c r="AB23" t="s">
        <v>103</v>
      </c>
    </row>
    <row r="24" spans="1:28" hidden="1">
      <c r="A24" s="34" t="s">
        <v>104</v>
      </c>
      <c r="B24" s="30">
        <v>2.0349999999999997</v>
      </c>
      <c r="C24" s="26"/>
      <c r="D24" s="41"/>
      <c r="E24" s="30">
        <v>1.004</v>
      </c>
      <c r="F24" s="26"/>
      <c r="G24" s="41"/>
      <c r="H24" s="30">
        <v>5.6959999999999997</v>
      </c>
      <c r="I24" s="26"/>
      <c r="J24" s="41"/>
      <c r="K24" s="30">
        <v>6.0590000000000002</v>
      </c>
      <c r="L24" s="26"/>
      <c r="M24" s="41"/>
      <c r="N24" s="30">
        <v>57.832000000000001</v>
      </c>
      <c r="O24" s="26"/>
      <c r="P24" s="41"/>
      <c r="Q24" s="79">
        <v>6.484</v>
      </c>
      <c r="R24" s="26"/>
      <c r="S24" s="93"/>
      <c r="T24" s="79">
        <v>6.3689999999999998</v>
      </c>
      <c r="U24" s="26"/>
      <c r="V24" s="93"/>
      <c r="W24" s="79">
        <v>2.7160000000000002</v>
      </c>
      <c r="X24" s="26"/>
      <c r="Y24" s="93"/>
      <c r="AA24" t="s">
        <v>105</v>
      </c>
    </row>
    <row r="25" spans="1:28" ht="29.25" hidden="1">
      <c r="A25" s="34" t="s">
        <v>106</v>
      </c>
      <c r="B25" s="30">
        <v>26.699000000000002</v>
      </c>
      <c r="C25" s="26"/>
      <c r="D25" s="41"/>
      <c r="E25" s="30">
        <v>19.704000000000001</v>
      </c>
      <c r="F25" s="26"/>
      <c r="G25" s="41"/>
      <c r="H25" s="30">
        <v>103.09100000000001</v>
      </c>
      <c r="I25" s="26"/>
      <c r="J25" s="41"/>
      <c r="K25" s="30">
        <v>62.743999999999993</v>
      </c>
      <c r="L25" s="26"/>
      <c r="M25" s="41"/>
      <c r="N25" s="30">
        <v>0.49299999999999994</v>
      </c>
      <c r="O25" s="26"/>
      <c r="P25" s="41"/>
      <c r="Q25" s="79">
        <v>103.286</v>
      </c>
      <c r="R25" s="26"/>
      <c r="S25" s="93"/>
      <c r="T25" s="79">
        <v>101.905</v>
      </c>
      <c r="U25" s="26"/>
      <c r="V25" s="93"/>
      <c r="W25" s="79">
        <v>34.657000000000004</v>
      </c>
      <c r="X25" s="26"/>
      <c r="Y25" s="93"/>
      <c r="AA25" t="s">
        <v>107</v>
      </c>
    </row>
    <row r="26" spans="1:28">
      <c r="A26" s="34" t="s">
        <v>108</v>
      </c>
      <c r="B26" s="29">
        <v>3.3609999999999998</v>
      </c>
      <c r="C26" s="25">
        <v>3.34</v>
      </c>
      <c r="D26" s="56">
        <f>B26/C26</f>
        <v>1.0062874251497005</v>
      </c>
      <c r="E26" s="29">
        <v>8.8999999999999996E-2</v>
      </c>
      <c r="F26" s="25">
        <v>0</v>
      </c>
      <c r="G26" s="56">
        <v>0</v>
      </c>
      <c r="H26" s="29">
        <v>38.893999999999998</v>
      </c>
      <c r="I26" s="25">
        <v>24.59</v>
      </c>
      <c r="J26" s="56">
        <f>H26/I26</f>
        <v>1.5816998779991867</v>
      </c>
      <c r="K26" s="29">
        <v>30.527999999999999</v>
      </c>
      <c r="L26" s="25">
        <v>58.27</v>
      </c>
      <c r="M26" s="56">
        <f t="shared" ref="M26:M31" si="0">K26/L26</f>
        <v>0.52390595503689719</v>
      </c>
      <c r="N26" s="29">
        <v>5.569</v>
      </c>
      <c r="O26" s="25">
        <v>52.47</v>
      </c>
      <c r="P26" s="56">
        <f t="shared" ref="P26:P31" si="1">N26/O26</f>
        <v>0.10613684009910425</v>
      </c>
      <c r="Q26" s="80">
        <v>46.316000000000003</v>
      </c>
      <c r="R26" s="25">
        <v>63.05</v>
      </c>
      <c r="S26" s="94">
        <f t="shared" ref="S26:S31" si="2">Q26/R26</f>
        <v>0.7345915939730373</v>
      </c>
      <c r="T26" s="80">
        <v>48.728999999999999</v>
      </c>
      <c r="U26" s="25">
        <v>53.93</v>
      </c>
      <c r="V26" s="94">
        <f t="shared" ref="V26:V31" si="3">T26/U26</f>
        <v>0.90356017059150751</v>
      </c>
      <c r="W26" s="80">
        <v>11.257</v>
      </c>
      <c r="X26" s="25">
        <v>4.0999999999999996</v>
      </c>
      <c r="Y26" s="94">
        <f t="shared" ref="Y26:Y31" si="4">W26/X26</f>
        <v>2.745609756097561</v>
      </c>
    </row>
    <row r="27" spans="1:28">
      <c r="A27" s="34" t="s">
        <v>109</v>
      </c>
      <c r="B27" s="30">
        <v>15.144</v>
      </c>
      <c r="C27" s="25">
        <v>14.49</v>
      </c>
      <c r="D27" s="40">
        <f>B27/C27</f>
        <v>1.0451345755693582</v>
      </c>
      <c r="E27" s="30">
        <v>1.629</v>
      </c>
      <c r="F27" s="25">
        <v>0.87</v>
      </c>
      <c r="G27" s="40">
        <f>E27/F27</f>
        <v>1.8724137931034484</v>
      </c>
      <c r="H27" s="30">
        <v>165.09699999999998</v>
      </c>
      <c r="I27" s="25">
        <v>87.87</v>
      </c>
      <c r="J27" s="40">
        <f>H27/I27</f>
        <v>1.8788778877887786</v>
      </c>
      <c r="K27" s="30">
        <v>136.16300000000001</v>
      </c>
      <c r="L27" s="25">
        <v>220.41</v>
      </c>
      <c r="M27" s="40">
        <f t="shared" si="0"/>
        <v>0.61777142597885759</v>
      </c>
      <c r="N27" s="30">
        <v>32.744</v>
      </c>
      <c r="O27" s="25">
        <v>166.21</v>
      </c>
      <c r="P27" s="40">
        <f t="shared" si="1"/>
        <v>0.19700379038565669</v>
      </c>
      <c r="Q27" s="79">
        <v>195.023</v>
      </c>
      <c r="R27" s="25">
        <v>267.23</v>
      </c>
      <c r="S27" s="92">
        <f t="shared" si="2"/>
        <v>0.72979455899412482</v>
      </c>
      <c r="T27" s="79">
        <v>201.99900000000002</v>
      </c>
      <c r="U27" s="25">
        <v>266.70999999999998</v>
      </c>
      <c r="V27" s="92">
        <f t="shared" si="3"/>
        <v>0.7573731768587606</v>
      </c>
      <c r="W27" s="79">
        <v>39.031000000000006</v>
      </c>
      <c r="X27" s="25">
        <v>24.29</v>
      </c>
      <c r="Y27" s="92">
        <f t="shared" si="4"/>
        <v>1.6068752573075342</v>
      </c>
    </row>
    <row r="28" spans="1:28">
      <c r="A28" s="105" t="s">
        <v>110</v>
      </c>
      <c r="B28" s="30">
        <v>5.492</v>
      </c>
      <c r="C28" s="25">
        <v>0</v>
      </c>
      <c r="D28" s="40">
        <v>0</v>
      </c>
      <c r="E28" s="30">
        <v>0</v>
      </c>
      <c r="F28" s="25">
        <v>0</v>
      </c>
      <c r="G28" s="40">
        <v>0</v>
      </c>
      <c r="H28" s="30">
        <v>323.31</v>
      </c>
      <c r="I28" s="25">
        <v>0</v>
      </c>
      <c r="J28" s="40">
        <v>0</v>
      </c>
      <c r="K28" s="30">
        <v>76.490000000000009</v>
      </c>
      <c r="L28" s="25">
        <v>4.49</v>
      </c>
      <c r="M28" s="40">
        <f t="shared" si="0"/>
        <v>17.035634743875281</v>
      </c>
      <c r="N28" s="30">
        <v>97.637</v>
      </c>
      <c r="O28" s="25">
        <v>28.87</v>
      </c>
      <c r="P28" s="40">
        <f t="shared" si="1"/>
        <v>3.3819535850363698</v>
      </c>
      <c r="Q28" s="79">
        <v>208.124</v>
      </c>
      <c r="R28" s="25">
        <v>21.29</v>
      </c>
      <c r="S28" s="92">
        <f t="shared" si="2"/>
        <v>9.7756693283231559</v>
      </c>
      <c r="T28" s="79">
        <v>207.45400000000001</v>
      </c>
      <c r="U28" s="25">
        <v>8.1999999999999993</v>
      </c>
      <c r="V28" s="92">
        <f t="shared" si="3"/>
        <v>25.299268292682928</v>
      </c>
      <c r="W28" s="79">
        <v>12.213999999999999</v>
      </c>
      <c r="X28" s="25">
        <v>5.14</v>
      </c>
      <c r="Y28" s="92">
        <f t="shared" si="4"/>
        <v>2.3762645914396887</v>
      </c>
    </row>
    <row r="29" spans="1:28">
      <c r="A29" s="105" t="s">
        <v>111</v>
      </c>
      <c r="B29" s="30">
        <v>0.19699999999999998</v>
      </c>
      <c r="C29" s="25">
        <v>0</v>
      </c>
      <c r="D29" s="40">
        <v>0</v>
      </c>
      <c r="E29" s="30">
        <v>0</v>
      </c>
      <c r="F29" s="25">
        <v>0</v>
      </c>
      <c r="G29" s="40">
        <v>0</v>
      </c>
      <c r="H29" s="30">
        <v>57.853000000000002</v>
      </c>
      <c r="I29" s="122">
        <v>0</v>
      </c>
      <c r="J29" s="40">
        <v>0</v>
      </c>
      <c r="K29" s="30">
        <v>13.266</v>
      </c>
      <c r="L29" s="122">
        <v>0.49</v>
      </c>
      <c r="M29" s="40">
        <f t="shared" si="0"/>
        <v>27.073469387755104</v>
      </c>
      <c r="N29" s="30">
        <v>44.405000000000001</v>
      </c>
      <c r="O29" s="25">
        <v>24.13</v>
      </c>
      <c r="P29" s="40">
        <f t="shared" si="1"/>
        <v>1.8402403646912557</v>
      </c>
      <c r="Q29" s="79">
        <v>196.26</v>
      </c>
      <c r="R29" s="25">
        <v>68.88</v>
      </c>
      <c r="S29" s="92">
        <f t="shared" si="2"/>
        <v>2.8493031358885017</v>
      </c>
      <c r="T29" s="79">
        <v>176.02300000000002</v>
      </c>
      <c r="U29" s="25">
        <v>70.48</v>
      </c>
      <c r="V29" s="92">
        <f t="shared" si="3"/>
        <v>2.4974886492622024</v>
      </c>
      <c r="W29" s="79">
        <v>0.254</v>
      </c>
      <c r="X29" s="25">
        <v>0</v>
      </c>
      <c r="Y29" s="92" t="e">
        <f t="shared" si="4"/>
        <v>#DIV/0!</v>
      </c>
    </row>
    <row r="30" spans="1:28">
      <c r="A30" s="34" t="s">
        <v>112</v>
      </c>
      <c r="B30" s="30">
        <v>59.289000000000001</v>
      </c>
      <c r="C30" s="25">
        <v>35.96</v>
      </c>
      <c r="D30" s="40">
        <f>B30/C30</f>
        <v>1.6487486095661847</v>
      </c>
      <c r="E30" s="30">
        <v>4.0000000000000001E-3</v>
      </c>
      <c r="F30" s="25">
        <v>0.2</v>
      </c>
      <c r="G30" s="40">
        <f>E30/F30</f>
        <v>0.02</v>
      </c>
      <c r="H30" s="30">
        <v>700.57499999999993</v>
      </c>
      <c r="I30" s="25">
        <v>263.89999999999998</v>
      </c>
      <c r="J30" s="40">
        <f>H30/I30</f>
        <v>2.6546987495263359</v>
      </c>
      <c r="K30" s="30">
        <v>700.19299999999998</v>
      </c>
      <c r="L30" s="25">
        <v>450.36</v>
      </c>
      <c r="M30" s="40">
        <f t="shared" si="0"/>
        <v>1.5547406519229061</v>
      </c>
      <c r="N30" s="30">
        <v>384.666</v>
      </c>
      <c r="O30" s="25">
        <v>320.77999999999997</v>
      </c>
      <c r="P30" s="40">
        <f t="shared" si="1"/>
        <v>1.1991583016397531</v>
      </c>
      <c r="Q30" s="79">
        <v>936.58799999999997</v>
      </c>
      <c r="R30" s="25">
        <v>502.79</v>
      </c>
      <c r="S30" s="92">
        <f t="shared" si="2"/>
        <v>1.862781678235446</v>
      </c>
      <c r="T30" s="79">
        <v>946.01100000000008</v>
      </c>
      <c r="U30" s="25">
        <v>602.33000000000004</v>
      </c>
      <c r="V30" s="92">
        <f t="shared" si="3"/>
        <v>1.5705858914548503</v>
      </c>
      <c r="W30" s="79">
        <v>144.66799999999998</v>
      </c>
      <c r="X30" s="25">
        <v>67.599999999999994</v>
      </c>
      <c r="Y30" s="92">
        <f t="shared" si="4"/>
        <v>2.1400591715976329</v>
      </c>
    </row>
    <row r="31" spans="1:28">
      <c r="A31" s="36" t="s">
        <v>113</v>
      </c>
      <c r="B31" s="31">
        <v>332.01900000000001</v>
      </c>
      <c r="C31" s="32">
        <v>144.79</v>
      </c>
      <c r="D31" s="95">
        <f>B31/C31</f>
        <v>2.2931072587885906</v>
      </c>
      <c r="E31" s="31">
        <v>135.28799999999998</v>
      </c>
      <c r="F31" s="32">
        <v>49.219999999999992</v>
      </c>
      <c r="G31" s="95">
        <f>E31/F31</f>
        <v>2.748638764729785</v>
      </c>
      <c r="H31" s="31">
        <v>2595.58</v>
      </c>
      <c r="I31" s="32">
        <v>836.04000000000008</v>
      </c>
      <c r="J31" s="95">
        <f>H31/I31</f>
        <v>3.1046122195110279</v>
      </c>
      <c r="K31" s="31">
        <v>1668.924</v>
      </c>
      <c r="L31" s="32">
        <v>1368.81</v>
      </c>
      <c r="M31" s="95">
        <f t="shared" si="0"/>
        <v>1.2192517588270104</v>
      </c>
      <c r="N31" s="31">
        <v>1381.2249999999999</v>
      </c>
      <c r="O31" s="32">
        <v>1273.25</v>
      </c>
      <c r="P31" s="95">
        <f t="shared" si="1"/>
        <v>1.0848026703318279</v>
      </c>
      <c r="Q31" s="96">
        <v>2971.1</v>
      </c>
      <c r="R31" s="32">
        <v>2000.0899999999997</v>
      </c>
      <c r="S31" s="97">
        <f t="shared" si="2"/>
        <v>1.4854831532581037</v>
      </c>
      <c r="T31" s="96">
        <v>3022.6890000000003</v>
      </c>
      <c r="U31" s="32">
        <v>2149.54</v>
      </c>
      <c r="V31" s="97">
        <f t="shared" si="3"/>
        <v>1.4062027224429414</v>
      </c>
      <c r="W31" s="96">
        <v>592.22699999999998</v>
      </c>
      <c r="X31" s="32">
        <v>184.33</v>
      </c>
      <c r="Y31" s="97">
        <f t="shared" si="4"/>
        <v>3.2128628004123039</v>
      </c>
    </row>
    <row r="33" spans="1:25">
      <c r="D33" s="24"/>
    </row>
    <row r="34" spans="1:25" ht="60">
      <c r="A34" s="104" t="s">
        <v>114</v>
      </c>
      <c r="B34" s="22" t="s">
        <v>48</v>
      </c>
      <c r="C34" s="22" t="s">
        <v>11</v>
      </c>
      <c r="D34" s="22" t="s">
        <v>11</v>
      </c>
      <c r="E34" s="22" t="s">
        <v>11</v>
      </c>
      <c r="F34" s="22" t="s">
        <v>11</v>
      </c>
      <c r="G34" s="22" t="s">
        <v>11</v>
      </c>
      <c r="H34" s="22" t="s">
        <v>11</v>
      </c>
      <c r="I34" s="22" t="s">
        <v>11</v>
      </c>
      <c r="J34" s="22" t="s">
        <v>11</v>
      </c>
      <c r="K34" s="22" t="s">
        <v>11</v>
      </c>
      <c r="L34" s="22" t="s">
        <v>11</v>
      </c>
      <c r="M34" s="22" t="s">
        <v>11</v>
      </c>
    </row>
    <row r="35" spans="1:25" ht="30" customHeight="1">
      <c r="A35" s="134" t="s">
        <v>115</v>
      </c>
      <c r="B35" s="23" t="s">
        <v>11</v>
      </c>
      <c r="C35" s="23" t="s">
        <v>11</v>
      </c>
      <c r="D35" s="23" t="s">
        <v>11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  <c r="M35" s="23" t="s">
        <v>11</v>
      </c>
    </row>
    <row r="36" spans="1:25" ht="34.5" customHeight="1">
      <c r="A36" s="33" t="s">
        <v>50</v>
      </c>
      <c r="B36" s="137" t="s">
        <v>51</v>
      </c>
      <c r="C36" s="138"/>
      <c r="D36" s="37" t="s">
        <v>52</v>
      </c>
      <c r="E36" s="137" t="s">
        <v>53</v>
      </c>
      <c r="F36" s="138"/>
      <c r="G36" s="37" t="s">
        <v>52</v>
      </c>
      <c r="H36" s="139" t="s">
        <v>54</v>
      </c>
      <c r="I36" s="138"/>
      <c r="J36" s="37" t="s">
        <v>52</v>
      </c>
      <c r="K36" s="137" t="s">
        <v>55</v>
      </c>
      <c r="L36" s="138"/>
      <c r="M36" s="37" t="s">
        <v>52</v>
      </c>
      <c r="N36" s="139" t="s">
        <v>56</v>
      </c>
      <c r="O36" s="138"/>
      <c r="P36" s="37" t="s">
        <v>52</v>
      </c>
      <c r="Q36" s="135" t="s">
        <v>57</v>
      </c>
      <c r="R36" s="136"/>
      <c r="S36" s="71" t="s">
        <v>52</v>
      </c>
      <c r="T36" s="135" t="s">
        <v>58</v>
      </c>
      <c r="U36" s="136"/>
      <c r="V36" s="71" t="s">
        <v>52</v>
      </c>
      <c r="W36" s="135" t="s">
        <v>59</v>
      </c>
      <c r="X36" s="136"/>
      <c r="Y36" s="71" t="s">
        <v>52</v>
      </c>
    </row>
    <row r="37" spans="1:25" ht="28.5">
      <c r="A37" s="52" t="s">
        <v>11</v>
      </c>
      <c r="B37" s="53" t="s">
        <v>60</v>
      </c>
      <c r="C37" s="54" t="s">
        <v>61</v>
      </c>
      <c r="D37" s="55" t="s">
        <v>62</v>
      </c>
      <c r="E37" s="53" t="s">
        <v>60</v>
      </c>
      <c r="F37" s="54" t="s">
        <v>61</v>
      </c>
      <c r="G37" s="55" t="s">
        <v>62</v>
      </c>
      <c r="H37" s="53" t="s">
        <v>60</v>
      </c>
      <c r="I37" s="54" t="s">
        <v>61</v>
      </c>
      <c r="J37" s="82" t="s">
        <v>62</v>
      </c>
      <c r="K37" s="53" t="s">
        <v>60</v>
      </c>
      <c r="L37" s="54" t="s">
        <v>61</v>
      </c>
      <c r="M37" s="55" t="s">
        <v>62</v>
      </c>
      <c r="N37" s="53" t="s">
        <v>60</v>
      </c>
      <c r="O37" s="54" t="s">
        <v>61</v>
      </c>
      <c r="P37" s="55" t="s">
        <v>62</v>
      </c>
      <c r="Q37" s="72" t="s">
        <v>60</v>
      </c>
      <c r="R37" s="54" t="s">
        <v>61</v>
      </c>
      <c r="S37" s="73" t="s">
        <v>62</v>
      </c>
      <c r="T37" s="72" t="s">
        <v>60</v>
      </c>
      <c r="U37" s="54" t="s">
        <v>61</v>
      </c>
      <c r="V37" s="73" t="s">
        <v>62</v>
      </c>
      <c r="W37" s="72" t="s">
        <v>60</v>
      </c>
      <c r="X37" s="54" t="s">
        <v>61</v>
      </c>
      <c r="Y37" s="73" t="s">
        <v>62</v>
      </c>
    </row>
    <row r="38" spans="1:25" ht="15.75">
      <c r="A38" s="47" t="s">
        <v>63</v>
      </c>
      <c r="B38" s="49"/>
      <c r="C38" s="50">
        <v>7.33</v>
      </c>
      <c r="D38" s="51" t="s">
        <v>11</v>
      </c>
      <c r="E38" s="49"/>
      <c r="F38" s="50">
        <v>0.04</v>
      </c>
      <c r="G38" s="51"/>
      <c r="H38" s="49"/>
      <c r="I38" s="50">
        <v>37.380000000000003</v>
      </c>
      <c r="J38" s="51" t="s">
        <v>11</v>
      </c>
      <c r="K38" s="49"/>
      <c r="L38" s="50">
        <v>78.84</v>
      </c>
      <c r="M38" s="51" t="s">
        <v>11</v>
      </c>
      <c r="N38" s="49"/>
      <c r="O38" s="50">
        <v>46.91</v>
      </c>
      <c r="P38" s="51" t="s">
        <v>11</v>
      </c>
      <c r="Q38" s="74" t="s">
        <v>11</v>
      </c>
      <c r="R38" s="50">
        <v>93</v>
      </c>
      <c r="S38" s="83" t="s">
        <v>11</v>
      </c>
      <c r="T38" s="74" t="s">
        <v>11</v>
      </c>
      <c r="U38" s="50">
        <v>92.99</v>
      </c>
      <c r="V38" s="83" t="s">
        <v>11</v>
      </c>
      <c r="W38" s="74">
        <v>47.53</v>
      </c>
      <c r="X38" s="50">
        <v>20.079999999999998</v>
      </c>
      <c r="Y38" s="83" t="s">
        <v>11</v>
      </c>
    </row>
    <row r="39" spans="1:25" ht="15.75">
      <c r="A39" s="35" t="s">
        <v>66</v>
      </c>
      <c r="B39" s="27"/>
      <c r="C39" s="21">
        <v>0</v>
      </c>
      <c r="D39" s="38"/>
      <c r="E39" s="27"/>
      <c r="F39" s="21">
        <v>0</v>
      </c>
      <c r="G39" s="38"/>
      <c r="H39" s="27"/>
      <c r="I39" s="21">
        <v>0</v>
      </c>
      <c r="J39" s="38"/>
      <c r="K39" s="27"/>
      <c r="L39" s="21">
        <v>0</v>
      </c>
      <c r="M39" s="38"/>
      <c r="N39" s="27"/>
      <c r="O39" s="21">
        <v>0</v>
      </c>
      <c r="P39" s="38"/>
      <c r="Q39" s="75"/>
      <c r="R39" s="21">
        <v>0</v>
      </c>
      <c r="S39" s="84"/>
      <c r="T39" s="75"/>
      <c r="U39" s="21">
        <v>0</v>
      </c>
      <c r="V39" s="84"/>
      <c r="W39" s="75">
        <v>8.1300000000000008</v>
      </c>
      <c r="X39" s="21">
        <v>0</v>
      </c>
      <c r="Y39" s="84"/>
    </row>
    <row r="40" spans="1:25" ht="16.5" customHeight="1">
      <c r="A40" s="35" t="s">
        <v>69</v>
      </c>
      <c r="B40" s="27"/>
      <c r="C40" s="21">
        <v>2.0299999999999998</v>
      </c>
      <c r="D40" s="38"/>
      <c r="E40" s="27"/>
      <c r="F40" s="21">
        <v>0.03</v>
      </c>
      <c r="G40" s="38"/>
      <c r="H40" s="27"/>
      <c r="I40" s="21">
        <v>30.62</v>
      </c>
      <c r="J40" s="38"/>
      <c r="K40" s="27"/>
      <c r="L40" s="21">
        <v>9.77</v>
      </c>
      <c r="M40" s="38"/>
      <c r="N40" s="27"/>
      <c r="O40" s="21">
        <v>16.850000000000001</v>
      </c>
      <c r="P40" s="38"/>
      <c r="Q40" s="75"/>
      <c r="R40" s="21">
        <v>7</v>
      </c>
      <c r="S40" s="84"/>
      <c r="T40" s="75"/>
      <c r="U40" s="21">
        <v>7.01</v>
      </c>
      <c r="V40" s="84"/>
      <c r="W40" s="75">
        <v>0.23</v>
      </c>
      <c r="X40" s="21">
        <v>4.29</v>
      </c>
      <c r="Y40" s="84"/>
    </row>
    <row r="41" spans="1:25" ht="15.75">
      <c r="A41" s="35" t="s">
        <v>72</v>
      </c>
      <c r="B41" s="27"/>
      <c r="C41" s="21">
        <v>0.35</v>
      </c>
      <c r="D41" s="38"/>
      <c r="E41" s="27"/>
      <c r="F41" s="21">
        <v>0.04</v>
      </c>
      <c r="G41" s="38"/>
      <c r="H41" s="27"/>
      <c r="I41" s="21">
        <v>0</v>
      </c>
      <c r="J41" s="38"/>
      <c r="K41" s="27"/>
      <c r="L41" s="21">
        <v>0</v>
      </c>
      <c r="M41" s="38"/>
      <c r="N41" s="27"/>
      <c r="O41" s="21">
        <v>0.3</v>
      </c>
      <c r="P41" s="38"/>
      <c r="Q41" s="75"/>
      <c r="R41" s="21">
        <v>0</v>
      </c>
      <c r="S41" s="84"/>
      <c r="T41" s="75"/>
      <c r="U41" s="21">
        <v>0</v>
      </c>
      <c r="V41" s="84"/>
      <c r="W41" s="75">
        <v>0.88</v>
      </c>
      <c r="X41" s="21">
        <v>0.67</v>
      </c>
      <c r="Y41" s="84"/>
    </row>
    <row r="42" spans="1:25" ht="15.75">
      <c r="A42" s="35" t="s">
        <v>75</v>
      </c>
      <c r="B42" s="27"/>
      <c r="C42" s="21">
        <v>0.27</v>
      </c>
      <c r="D42" s="38"/>
      <c r="E42" s="27"/>
      <c r="F42" s="21">
        <v>0.03</v>
      </c>
      <c r="G42" s="38"/>
      <c r="H42" s="27"/>
      <c r="I42" s="21">
        <v>32</v>
      </c>
      <c r="J42" s="38"/>
      <c r="K42" s="27"/>
      <c r="L42" s="21">
        <v>11.39</v>
      </c>
      <c r="M42" s="38"/>
      <c r="N42" s="27"/>
      <c r="O42" s="21">
        <v>0.25</v>
      </c>
      <c r="P42" s="38"/>
      <c r="Q42" s="75"/>
      <c r="R42" s="21">
        <v>0</v>
      </c>
      <c r="S42" s="84"/>
      <c r="T42" s="75"/>
      <c r="U42" s="21">
        <v>0</v>
      </c>
      <c r="V42" s="84"/>
      <c r="W42" s="75">
        <v>0.77</v>
      </c>
      <c r="X42" s="21">
        <v>0.52</v>
      </c>
      <c r="Y42" s="84"/>
    </row>
    <row r="43" spans="1:25" ht="15.75">
      <c r="A43" s="35" t="s">
        <v>77</v>
      </c>
      <c r="B43" s="27"/>
      <c r="C43" s="21">
        <v>90.02</v>
      </c>
      <c r="D43" s="39" t="s">
        <v>11</v>
      </c>
      <c r="E43" s="27"/>
      <c r="F43" s="21">
        <v>0.06</v>
      </c>
      <c r="G43" s="39" t="s">
        <v>11</v>
      </c>
      <c r="H43" s="27"/>
      <c r="I43" s="21">
        <v>0</v>
      </c>
      <c r="J43" s="39" t="s">
        <v>11</v>
      </c>
      <c r="K43" s="42"/>
      <c r="L43" s="21">
        <v>0</v>
      </c>
      <c r="M43" s="39" t="s">
        <v>11</v>
      </c>
      <c r="N43" s="42"/>
      <c r="O43" s="21">
        <v>35.69</v>
      </c>
      <c r="P43" s="39" t="s">
        <v>11</v>
      </c>
      <c r="Q43" s="76" t="s">
        <v>11</v>
      </c>
      <c r="R43" s="21">
        <v>0</v>
      </c>
      <c r="S43" s="85" t="s">
        <v>11</v>
      </c>
      <c r="T43" s="76" t="s">
        <v>11</v>
      </c>
      <c r="U43" s="21">
        <v>0</v>
      </c>
      <c r="V43" s="85" t="s">
        <v>11</v>
      </c>
      <c r="W43" s="76">
        <v>1.02</v>
      </c>
      <c r="X43" s="21">
        <v>74.44</v>
      </c>
      <c r="Y43" s="85" t="s">
        <v>11</v>
      </c>
    </row>
    <row r="44" spans="1:25" ht="15.75">
      <c r="A44" s="43" t="s">
        <v>80</v>
      </c>
      <c r="B44" s="44"/>
      <c r="C44" s="45">
        <v>0</v>
      </c>
      <c r="D44" s="46"/>
      <c r="E44" s="44"/>
      <c r="F44" s="45">
        <v>99.81</v>
      </c>
      <c r="G44" s="46"/>
      <c r="H44" s="44"/>
      <c r="I44" s="45">
        <v>0</v>
      </c>
      <c r="J44" s="46"/>
      <c r="K44" s="60"/>
      <c r="L44" s="45">
        <v>0</v>
      </c>
      <c r="M44" s="46"/>
      <c r="N44" s="60"/>
      <c r="O44" s="45">
        <v>0</v>
      </c>
      <c r="P44" s="46"/>
      <c r="Q44" s="77"/>
      <c r="R44" s="45">
        <v>0</v>
      </c>
      <c r="S44" s="86"/>
      <c r="T44" s="77"/>
      <c r="U44" s="45">
        <v>0</v>
      </c>
      <c r="V44" s="86"/>
      <c r="W44" s="77">
        <v>41.44</v>
      </c>
      <c r="X44" s="45">
        <v>0</v>
      </c>
      <c r="Y44" s="86"/>
    </row>
    <row r="45" spans="1:25" ht="15.75">
      <c r="A45" s="61"/>
      <c r="B45" s="62"/>
      <c r="C45" s="63"/>
      <c r="D45" s="64"/>
      <c r="E45" s="65"/>
      <c r="F45" s="63"/>
      <c r="G45" s="66"/>
      <c r="H45" s="62"/>
      <c r="I45" s="63"/>
      <c r="J45" s="66"/>
      <c r="K45" s="67"/>
      <c r="L45" s="63"/>
      <c r="M45" s="66"/>
      <c r="N45" s="67"/>
      <c r="O45" s="63"/>
      <c r="P45" s="66"/>
      <c r="Q45" s="78"/>
      <c r="R45" s="63"/>
      <c r="S45" s="68"/>
      <c r="T45" s="78"/>
      <c r="U45" s="63"/>
      <c r="V45" s="68"/>
      <c r="W45" s="78"/>
      <c r="X45" s="63"/>
      <c r="Y45" s="68"/>
    </row>
    <row r="46" spans="1:25" ht="15.75">
      <c r="A46" s="69" t="s">
        <v>85</v>
      </c>
      <c r="B46" s="59"/>
      <c r="C46" s="57">
        <v>0.77</v>
      </c>
      <c r="D46" s="48"/>
      <c r="E46" s="58"/>
      <c r="F46" s="57">
        <v>0</v>
      </c>
      <c r="G46" s="81"/>
      <c r="H46" s="27"/>
      <c r="I46" s="21">
        <v>0</v>
      </c>
      <c r="J46" s="39"/>
      <c r="K46" s="42"/>
      <c r="L46" s="21">
        <v>0</v>
      </c>
      <c r="M46" s="39"/>
      <c r="N46" s="42"/>
      <c r="O46" s="21">
        <v>18.27</v>
      </c>
      <c r="P46" s="39"/>
      <c r="Q46" s="76"/>
      <c r="R46" s="21">
        <v>0</v>
      </c>
      <c r="S46" s="85"/>
      <c r="T46" s="76"/>
      <c r="U46" s="21">
        <v>0</v>
      </c>
      <c r="V46" s="85"/>
      <c r="W46" s="76">
        <v>6.35</v>
      </c>
      <c r="X46" s="21">
        <v>13.55</v>
      </c>
      <c r="Y46" s="85"/>
    </row>
    <row r="47" spans="1:25" ht="15.75">
      <c r="A47" s="70" t="s">
        <v>86</v>
      </c>
      <c r="B47" s="27"/>
      <c r="C47" s="21">
        <v>4.75</v>
      </c>
      <c r="D47" s="28"/>
      <c r="E47" s="20"/>
      <c r="F47" s="21">
        <v>100</v>
      </c>
      <c r="G47" s="39"/>
      <c r="H47" s="27"/>
      <c r="I47" s="21">
        <v>0</v>
      </c>
      <c r="J47" s="39"/>
      <c r="K47" s="42"/>
      <c r="L47" s="21">
        <v>0</v>
      </c>
      <c r="M47" s="39"/>
      <c r="N47" s="42"/>
      <c r="O47" s="21">
        <v>0</v>
      </c>
      <c r="P47" s="39"/>
      <c r="Q47" s="76"/>
      <c r="R47" s="21">
        <v>0</v>
      </c>
      <c r="S47" s="85"/>
      <c r="T47" s="76"/>
      <c r="U47" s="21">
        <v>0</v>
      </c>
      <c r="V47" s="85"/>
      <c r="W47" s="76">
        <v>6.38</v>
      </c>
      <c r="X47" s="21">
        <v>20.13</v>
      </c>
      <c r="Y47" s="85"/>
    </row>
    <row r="48" spans="1:25" ht="15.75">
      <c r="A48" s="70" t="s">
        <v>87</v>
      </c>
      <c r="B48" s="27"/>
      <c r="C48" s="21">
        <v>77.260000000000005</v>
      </c>
      <c r="D48" s="28"/>
      <c r="E48" s="20"/>
      <c r="F48" s="21">
        <v>0</v>
      </c>
      <c r="G48" s="39"/>
      <c r="H48" s="27"/>
      <c r="I48" s="21">
        <v>0</v>
      </c>
      <c r="J48" s="39"/>
      <c r="K48" s="42"/>
      <c r="L48" s="21">
        <v>0</v>
      </c>
      <c r="M48" s="39"/>
      <c r="N48" s="42"/>
      <c r="O48" s="21">
        <v>0</v>
      </c>
      <c r="P48" s="39"/>
      <c r="Q48" s="76"/>
      <c r="R48" s="21">
        <v>0</v>
      </c>
      <c r="S48" s="85"/>
      <c r="T48" s="76"/>
      <c r="U48" s="21">
        <v>0</v>
      </c>
      <c r="V48" s="85"/>
      <c r="W48" s="76">
        <v>4.1100000000000003</v>
      </c>
      <c r="X48" s="21">
        <v>19.2</v>
      </c>
      <c r="Y48" s="85"/>
    </row>
    <row r="49" spans="1:25">
      <c r="A49" s="98"/>
      <c r="B49" s="99"/>
      <c r="C49" s="100"/>
      <c r="D49" s="101"/>
      <c r="E49" s="102"/>
      <c r="F49" s="100"/>
      <c r="G49" s="46"/>
      <c r="H49" s="99"/>
      <c r="I49" s="100"/>
      <c r="J49" s="46"/>
      <c r="K49" s="99"/>
      <c r="L49" s="100"/>
      <c r="M49" s="46"/>
      <c r="N49" s="99"/>
      <c r="O49" s="100"/>
      <c r="P49" s="46"/>
      <c r="Q49" s="103"/>
      <c r="R49" s="100"/>
      <c r="S49" s="86"/>
      <c r="T49" s="103"/>
      <c r="U49" s="100"/>
      <c r="V49" s="86"/>
      <c r="W49" s="103"/>
      <c r="X49" s="100"/>
      <c r="Y49" s="86"/>
    </row>
    <row r="50" spans="1:25">
      <c r="A50" s="33" t="s">
        <v>92</v>
      </c>
      <c r="B50" s="87">
        <v>23.84</v>
      </c>
      <c r="C50" s="88">
        <v>4.9800000000000004</v>
      </c>
      <c r="D50" s="89">
        <f>B50/C50</f>
        <v>4.7871485943775092</v>
      </c>
      <c r="E50" s="87">
        <v>0</v>
      </c>
      <c r="F50" s="88">
        <v>0</v>
      </c>
      <c r="G50" s="89">
        <v>0</v>
      </c>
      <c r="H50" s="87"/>
      <c r="I50" s="88">
        <v>75.510000000000005</v>
      </c>
      <c r="J50" s="89">
        <f>H50/I50</f>
        <v>0</v>
      </c>
      <c r="K50" s="87">
        <v>189.029</v>
      </c>
      <c r="L50" s="88">
        <v>151.38</v>
      </c>
      <c r="M50" s="89">
        <f>K50/L50</f>
        <v>1.24870524507861</v>
      </c>
      <c r="N50" s="87">
        <v>185.721</v>
      </c>
      <c r="O50" s="88">
        <v>223.63</v>
      </c>
      <c r="P50" s="89">
        <f>N50/O50</f>
        <v>0.83048338773867547</v>
      </c>
      <c r="Q50" s="90"/>
      <c r="R50" s="88">
        <v>413.46</v>
      </c>
      <c r="S50" s="91">
        <f>Q50/R50</f>
        <v>0</v>
      </c>
      <c r="T50" s="90"/>
      <c r="U50" s="88">
        <v>480.85</v>
      </c>
      <c r="V50" s="91">
        <f>T50/U50</f>
        <v>0</v>
      </c>
      <c r="W50" s="90"/>
      <c r="X50" s="88">
        <v>17.54</v>
      </c>
      <c r="Y50" s="91">
        <f>W50/X50</f>
        <v>0</v>
      </c>
    </row>
    <row r="51" spans="1:25">
      <c r="A51" s="105" t="s">
        <v>94</v>
      </c>
      <c r="B51" s="30">
        <v>39.285000000000004</v>
      </c>
      <c r="C51" s="25">
        <v>14.23</v>
      </c>
      <c r="D51" s="40">
        <f>B51/C51</f>
        <v>2.7607167955024599</v>
      </c>
      <c r="E51" s="30">
        <v>21.430999999999997</v>
      </c>
      <c r="F51" s="25">
        <v>1.55</v>
      </c>
      <c r="G51" s="40">
        <f>E51/F51</f>
        <v>13.826451612903224</v>
      </c>
      <c r="H51" s="30"/>
      <c r="I51" s="25">
        <v>111.65</v>
      </c>
      <c r="J51" s="40">
        <f>H51/I51</f>
        <v>0</v>
      </c>
      <c r="K51" s="30">
        <v>122.521</v>
      </c>
      <c r="L51" s="25">
        <v>159.38</v>
      </c>
      <c r="M51" s="40">
        <f>K51/L51</f>
        <v>0.76873509850671351</v>
      </c>
      <c r="N51" s="30">
        <v>129.428</v>
      </c>
      <c r="O51" s="25">
        <v>122.49</v>
      </c>
      <c r="P51" s="40">
        <f>N51/O51</f>
        <v>1.0566413584782433</v>
      </c>
      <c r="Q51" s="79"/>
      <c r="R51" s="25">
        <v>186.16</v>
      </c>
      <c r="S51" s="92">
        <f>Q51/R51</f>
        <v>0</v>
      </c>
      <c r="T51" s="79"/>
      <c r="U51" s="25">
        <v>135.4</v>
      </c>
      <c r="V51" s="92">
        <f>T51/U51</f>
        <v>0</v>
      </c>
      <c r="W51" s="79"/>
      <c r="X51" s="25">
        <v>12.98</v>
      </c>
      <c r="Y51" s="92">
        <f>W51/X51</f>
        <v>0</v>
      </c>
    </row>
    <row r="52" spans="1:25">
      <c r="A52" s="105" t="s">
        <v>96</v>
      </c>
      <c r="B52" s="30">
        <v>144.828</v>
      </c>
      <c r="C52" s="25">
        <v>67.290000000000006</v>
      </c>
      <c r="D52" s="40">
        <f>B52/C52</f>
        <v>2.1522960320998661</v>
      </c>
      <c r="E52" s="30">
        <v>88.345999999999989</v>
      </c>
      <c r="F52" s="25">
        <v>42.23</v>
      </c>
      <c r="G52" s="40">
        <f>E52/F52</f>
        <v>2.092019891072697</v>
      </c>
      <c r="H52" s="30"/>
      <c r="I52" s="25">
        <v>266.98</v>
      </c>
      <c r="J52" s="40">
        <f>H52/I52</f>
        <v>0</v>
      </c>
      <c r="K52" s="30">
        <v>376.03999999999996</v>
      </c>
      <c r="L52" s="25">
        <v>318.3</v>
      </c>
      <c r="M52" s="40">
        <f>K52/L52</f>
        <v>1.181401193842287</v>
      </c>
      <c r="N52" s="30">
        <v>396.387</v>
      </c>
      <c r="O52" s="25">
        <v>327.08999999999997</v>
      </c>
      <c r="P52" s="40">
        <f>N52/O52</f>
        <v>1.2118591213427499</v>
      </c>
      <c r="Q52" s="79"/>
      <c r="R52" s="25">
        <v>469.6</v>
      </c>
      <c r="S52" s="92">
        <f>Q52/R52</f>
        <v>0</v>
      </c>
      <c r="T52" s="79"/>
      <c r="U52" s="25">
        <v>469.01</v>
      </c>
      <c r="V52" s="92">
        <f>T52/U52</f>
        <v>0</v>
      </c>
      <c r="W52" s="79"/>
      <c r="X52" s="25">
        <v>49.06</v>
      </c>
      <c r="Y52" s="92">
        <f>W52/X52</f>
        <v>0</v>
      </c>
    </row>
    <row r="53" spans="1:25">
      <c r="A53" s="34" t="s">
        <v>99</v>
      </c>
      <c r="B53" s="30">
        <v>1.508</v>
      </c>
      <c r="C53" s="25">
        <v>4.45</v>
      </c>
      <c r="D53" s="40">
        <f>B53/C53</f>
        <v>0.338876404494382</v>
      </c>
      <c r="E53" s="30">
        <v>1.264</v>
      </c>
      <c r="F53" s="25">
        <v>4.32</v>
      </c>
      <c r="G53" s="40">
        <f>E53/F53</f>
        <v>0.29259259259259257</v>
      </c>
      <c r="H53" s="30"/>
      <c r="I53" s="25">
        <v>5.49</v>
      </c>
      <c r="J53" s="40">
        <f>H53/I53</f>
        <v>0</v>
      </c>
      <c r="K53" s="30">
        <v>3.4020000000000001</v>
      </c>
      <c r="L53" s="25">
        <v>5.68</v>
      </c>
      <c r="M53" s="40">
        <f>K53/L53</f>
        <v>0.59894366197183102</v>
      </c>
      <c r="N53" s="30">
        <v>2.2770000000000001</v>
      </c>
      <c r="O53" s="25">
        <v>7.53</v>
      </c>
      <c r="P53" s="40">
        <f>N53/O53</f>
        <v>0.30239043824701195</v>
      </c>
      <c r="Q53" s="79"/>
      <c r="R53" s="25">
        <v>7.58</v>
      </c>
      <c r="S53" s="92">
        <f>Q53/R53</f>
        <v>0</v>
      </c>
      <c r="T53" s="79"/>
      <c r="U53" s="25">
        <v>62.58</v>
      </c>
      <c r="V53" s="92">
        <f>T53/U53</f>
        <v>0</v>
      </c>
      <c r="W53" s="79"/>
      <c r="X53" s="25">
        <v>3.62</v>
      </c>
      <c r="Y53" s="92">
        <f>W53/X53</f>
        <v>0</v>
      </c>
    </row>
    <row r="54" spans="1:25">
      <c r="A54" s="34" t="s">
        <v>101</v>
      </c>
      <c r="B54" s="30">
        <v>0.127</v>
      </c>
      <c r="C54" s="25">
        <v>0.05</v>
      </c>
      <c r="D54" s="40">
        <f>B54/C54</f>
        <v>2.54</v>
      </c>
      <c r="E54" s="30">
        <v>0.13500000000000001</v>
      </c>
      <c r="F54" s="25">
        <v>0.05</v>
      </c>
      <c r="G54" s="40">
        <f>E54/F54</f>
        <v>2.7</v>
      </c>
      <c r="H54" s="30"/>
      <c r="I54" s="25">
        <v>0.05</v>
      </c>
      <c r="J54" s="40">
        <f>H54/I54</f>
        <v>0</v>
      </c>
      <c r="K54" s="30">
        <v>0.12999999999999998</v>
      </c>
      <c r="L54" s="25">
        <v>0.05</v>
      </c>
      <c r="M54" s="40">
        <f>K54/L54</f>
        <v>2.5999999999999992</v>
      </c>
      <c r="N54" s="124">
        <v>0.128</v>
      </c>
      <c r="O54" s="25">
        <v>0.05</v>
      </c>
      <c r="P54" s="40">
        <f>N54/O54</f>
        <v>2.56</v>
      </c>
      <c r="Q54" s="79"/>
      <c r="R54" s="25">
        <v>0.05</v>
      </c>
      <c r="S54" s="92">
        <f>Q54/R54</f>
        <v>0</v>
      </c>
      <c r="T54" s="79"/>
      <c r="U54" s="25">
        <v>0.05</v>
      </c>
      <c r="V54" s="92">
        <f>T54/U54</f>
        <v>0</v>
      </c>
      <c r="W54" s="79"/>
      <c r="X54" s="25">
        <v>0</v>
      </c>
      <c r="Y54" s="92" t="e">
        <f>W54/X54</f>
        <v>#DIV/0!</v>
      </c>
    </row>
    <row r="55" spans="1:25">
      <c r="A55" s="34" t="s">
        <v>104</v>
      </c>
      <c r="B55" s="30">
        <v>6.87</v>
      </c>
      <c r="C55" s="26"/>
      <c r="D55" s="41"/>
      <c r="E55" s="30">
        <v>5.9630000000000001</v>
      </c>
      <c r="F55" s="26"/>
      <c r="G55" s="41"/>
      <c r="H55" s="30"/>
      <c r="I55" s="26"/>
      <c r="J55" s="41"/>
      <c r="K55" s="30">
        <v>6.4510000000000005</v>
      </c>
      <c r="L55" s="26"/>
      <c r="M55" s="41"/>
      <c r="N55" s="30">
        <v>10.167</v>
      </c>
      <c r="O55" s="26"/>
      <c r="P55" s="41"/>
      <c r="Q55" s="79"/>
      <c r="R55" s="26"/>
      <c r="S55" s="93"/>
      <c r="T55" s="79"/>
      <c r="U55" s="26"/>
      <c r="V55" s="93"/>
      <c r="W55" s="79"/>
      <c r="X55" s="26"/>
      <c r="Y55" s="93"/>
    </row>
    <row r="56" spans="1:25" ht="29.25">
      <c r="A56" s="34" t="s">
        <v>106</v>
      </c>
      <c r="B56" s="30">
        <v>25.872</v>
      </c>
      <c r="C56" s="26"/>
      <c r="D56" s="41"/>
      <c r="E56" s="30">
        <v>17.149000000000001</v>
      </c>
      <c r="F56" s="26"/>
      <c r="G56" s="41"/>
      <c r="H56" s="30"/>
      <c r="I56" s="26"/>
      <c r="J56" s="41"/>
      <c r="K56" s="30">
        <v>69.707000000000008</v>
      </c>
      <c r="L56" s="26"/>
      <c r="M56" s="41"/>
      <c r="N56" s="30">
        <v>61.495000000000005</v>
      </c>
      <c r="O56" s="26"/>
      <c r="P56" s="41"/>
      <c r="Q56" s="79"/>
      <c r="R56" s="26"/>
      <c r="S56" s="93"/>
      <c r="T56" s="79"/>
      <c r="U56" s="26"/>
      <c r="V56" s="93"/>
      <c r="W56" s="79"/>
      <c r="X56" s="26"/>
      <c r="Y56" s="93"/>
    </row>
    <row r="57" spans="1:25">
      <c r="A57" s="34" t="s">
        <v>108</v>
      </c>
      <c r="B57" s="29">
        <v>4.5129999999999999</v>
      </c>
      <c r="C57" s="25">
        <v>3.34</v>
      </c>
      <c r="D57" s="56">
        <f>B57/C57</f>
        <v>1.3511976047904193</v>
      </c>
      <c r="E57" s="29">
        <v>0.80500000000000005</v>
      </c>
      <c r="F57" s="25">
        <v>0</v>
      </c>
      <c r="G57" s="56">
        <v>0</v>
      </c>
      <c r="H57" s="29"/>
      <c r="I57" s="25">
        <v>24.59</v>
      </c>
      <c r="J57" s="56">
        <f>H57/I57</f>
        <v>0</v>
      </c>
      <c r="K57" s="29">
        <v>32.398000000000003</v>
      </c>
      <c r="L57" s="25">
        <v>58.27</v>
      </c>
      <c r="M57" s="56">
        <f t="shared" ref="M57:M62" si="5">K57/L57</f>
        <v>0.55599794062124597</v>
      </c>
      <c r="N57" s="29">
        <v>21.419</v>
      </c>
      <c r="O57" s="25">
        <v>52.47</v>
      </c>
      <c r="P57" s="56">
        <f t="shared" ref="P57:P62" si="6">N57/O57</f>
        <v>0.40821421764817994</v>
      </c>
      <c r="Q57" s="80"/>
      <c r="R57" s="25">
        <v>63.05</v>
      </c>
      <c r="S57" s="94">
        <f t="shared" ref="S57:S62" si="7">Q57/R57</f>
        <v>0</v>
      </c>
      <c r="T57" s="80"/>
      <c r="U57" s="25">
        <v>53.93</v>
      </c>
      <c r="V57" s="94">
        <f t="shared" ref="V57:V62" si="8">T57/U57</f>
        <v>0</v>
      </c>
      <c r="W57" s="80"/>
      <c r="X57" s="25">
        <v>4.0999999999999996</v>
      </c>
      <c r="Y57" s="94">
        <f t="shared" ref="Y57:Y62" si="9">W57/X57</f>
        <v>0</v>
      </c>
    </row>
    <row r="58" spans="1:25">
      <c r="A58" s="34" t="s">
        <v>109</v>
      </c>
      <c r="B58" s="30">
        <v>18.027999999999999</v>
      </c>
      <c r="C58" s="25">
        <v>14.49</v>
      </c>
      <c r="D58" s="40">
        <f>B58/C58</f>
        <v>1.2441683919944788</v>
      </c>
      <c r="E58" s="30">
        <v>1.913</v>
      </c>
      <c r="F58" s="25">
        <v>0.87</v>
      </c>
      <c r="G58" s="40">
        <f>E58/F58</f>
        <v>2.1988505747126439</v>
      </c>
      <c r="H58" s="30"/>
      <c r="I58" s="25">
        <v>87.87</v>
      </c>
      <c r="J58" s="40">
        <f>H58/I58</f>
        <v>0</v>
      </c>
      <c r="K58" s="30">
        <v>152.36500000000001</v>
      </c>
      <c r="L58" s="25">
        <v>220.41</v>
      </c>
      <c r="M58" s="40">
        <f t="shared" si="5"/>
        <v>0.6912798874824192</v>
      </c>
      <c r="N58" s="30">
        <v>100.34400000000001</v>
      </c>
      <c r="O58" s="25">
        <v>166.21</v>
      </c>
      <c r="P58" s="40">
        <f t="shared" si="6"/>
        <v>0.60371818783466702</v>
      </c>
      <c r="Q58" s="79"/>
      <c r="R58" s="25">
        <v>267.23</v>
      </c>
      <c r="S58" s="92">
        <f t="shared" si="7"/>
        <v>0</v>
      </c>
      <c r="T58" s="79"/>
      <c r="U58" s="25">
        <v>266.70999999999998</v>
      </c>
      <c r="V58" s="92">
        <f t="shared" si="8"/>
        <v>0</v>
      </c>
      <c r="W58" s="79"/>
      <c r="X58" s="25">
        <v>24.29</v>
      </c>
      <c r="Y58" s="92">
        <f t="shared" si="9"/>
        <v>0</v>
      </c>
    </row>
    <row r="59" spans="1:25">
      <c r="A59" s="105" t="s">
        <v>110</v>
      </c>
      <c r="B59" s="30">
        <v>1.9780000000000002</v>
      </c>
      <c r="C59" s="25">
        <v>0</v>
      </c>
      <c r="D59" s="40">
        <v>0</v>
      </c>
      <c r="E59" s="30">
        <v>0</v>
      </c>
      <c r="F59" s="25">
        <v>0</v>
      </c>
      <c r="G59" s="40">
        <v>0</v>
      </c>
      <c r="H59" s="30"/>
      <c r="I59" s="25">
        <v>0</v>
      </c>
      <c r="J59" s="40">
        <v>0</v>
      </c>
      <c r="K59" s="30">
        <v>46.628</v>
      </c>
      <c r="L59" s="25">
        <v>4.49</v>
      </c>
      <c r="M59" s="40">
        <f t="shared" si="5"/>
        <v>10.384855233853006</v>
      </c>
      <c r="N59" s="30">
        <v>101.49600000000001</v>
      </c>
      <c r="O59" s="25">
        <v>28.87</v>
      </c>
      <c r="P59" s="40">
        <f t="shared" si="6"/>
        <v>3.5156217526844475</v>
      </c>
      <c r="Q59" s="79"/>
      <c r="R59" s="25">
        <v>21.29</v>
      </c>
      <c r="S59" s="92">
        <f t="shared" si="7"/>
        <v>0</v>
      </c>
      <c r="T59" s="79"/>
      <c r="U59" s="25">
        <v>8.1999999999999993</v>
      </c>
      <c r="V59" s="92">
        <f t="shared" si="8"/>
        <v>0</v>
      </c>
      <c r="W59" s="79"/>
      <c r="X59" s="25">
        <v>5.14</v>
      </c>
      <c r="Y59" s="92">
        <f t="shared" si="9"/>
        <v>0</v>
      </c>
    </row>
    <row r="60" spans="1:25">
      <c r="A60" s="105" t="s">
        <v>111</v>
      </c>
      <c r="B60" s="30">
        <v>0.185</v>
      </c>
      <c r="C60" s="25">
        <v>0</v>
      </c>
      <c r="D60" s="40">
        <v>0</v>
      </c>
      <c r="E60" s="30">
        <v>0</v>
      </c>
      <c r="F60" s="25">
        <v>0</v>
      </c>
      <c r="G60" s="40">
        <v>0</v>
      </c>
      <c r="H60" s="30"/>
      <c r="I60" s="122">
        <v>0</v>
      </c>
      <c r="J60" s="40">
        <v>0</v>
      </c>
      <c r="K60" s="30">
        <v>7.9539999999999988</v>
      </c>
      <c r="L60" s="25">
        <v>0.49</v>
      </c>
      <c r="M60" s="40">
        <f t="shared" si="5"/>
        <v>16.232653061224489</v>
      </c>
      <c r="N60" s="30">
        <v>28.899000000000001</v>
      </c>
      <c r="O60" s="25">
        <v>24.13</v>
      </c>
      <c r="P60" s="40">
        <f t="shared" si="6"/>
        <v>1.1976377952755906</v>
      </c>
      <c r="Q60" s="79"/>
      <c r="R60" s="25">
        <v>68.88</v>
      </c>
      <c r="S60" s="92">
        <f t="shared" si="7"/>
        <v>0</v>
      </c>
      <c r="T60" s="79"/>
      <c r="U60" s="25">
        <v>70.48</v>
      </c>
      <c r="V60" s="92">
        <f t="shared" si="8"/>
        <v>0</v>
      </c>
      <c r="W60" s="79"/>
      <c r="X60" s="25">
        <v>0</v>
      </c>
      <c r="Y60" s="92" t="e">
        <f t="shared" si="9"/>
        <v>#DIV/0!</v>
      </c>
    </row>
    <row r="61" spans="1:25">
      <c r="A61" s="34" t="s">
        <v>112</v>
      </c>
      <c r="B61" s="30">
        <v>62.6</v>
      </c>
      <c r="C61" s="25">
        <v>35.96</v>
      </c>
      <c r="D61" s="40">
        <f>B61/C61</f>
        <v>1.7408231368186875</v>
      </c>
      <c r="E61" s="30">
        <v>0</v>
      </c>
      <c r="F61" s="25">
        <v>0.2</v>
      </c>
      <c r="G61" s="40">
        <f>E61/F61</f>
        <v>0</v>
      </c>
      <c r="H61" s="30"/>
      <c r="I61" s="25">
        <v>263.89999999999998</v>
      </c>
      <c r="J61" s="40">
        <f>H61/I61</f>
        <v>0</v>
      </c>
      <c r="K61" s="30">
        <v>795.23099999999999</v>
      </c>
      <c r="L61" s="25">
        <v>450.36</v>
      </c>
      <c r="M61" s="40">
        <f t="shared" si="5"/>
        <v>1.7657673860911269</v>
      </c>
      <c r="N61" s="30">
        <v>483.29199999999997</v>
      </c>
      <c r="O61" s="25">
        <v>320.77999999999997</v>
      </c>
      <c r="P61" s="40">
        <f t="shared" si="6"/>
        <v>1.5066151256312739</v>
      </c>
      <c r="Q61" s="79"/>
      <c r="R61" s="25">
        <v>502.79</v>
      </c>
      <c r="S61" s="92">
        <f t="shared" si="7"/>
        <v>0</v>
      </c>
      <c r="T61" s="79"/>
      <c r="U61" s="25">
        <v>602.33000000000004</v>
      </c>
      <c r="V61" s="92">
        <f t="shared" si="8"/>
        <v>0</v>
      </c>
      <c r="W61" s="79"/>
      <c r="X61" s="25">
        <v>67.599999999999994</v>
      </c>
      <c r="Y61" s="92">
        <f t="shared" si="9"/>
        <v>0</v>
      </c>
    </row>
    <row r="62" spans="1:25">
      <c r="A62" s="36" t="s">
        <v>113</v>
      </c>
      <c r="B62" s="31">
        <v>329.834</v>
      </c>
      <c r="C62" s="32">
        <v>144.79</v>
      </c>
      <c r="D62" s="95">
        <f>B62/C62</f>
        <v>2.2780164375992817</v>
      </c>
      <c r="E62" s="31">
        <v>137.005</v>
      </c>
      <c r="F62" s="32">
        <v>49.219999999999992</v>
      </c>
      <c r="G62" s="95">
        <f>E62/F62</f>
        <v>2.783522958147095</v>
      </c>
      <c r="H62" s="31"/>
      <c r="I62" s="32">
        <v>836.04000000000008</v>
      </c>
      <c r="J62" s="95">
        <f>H62/I62</f>
        <v>0</v>
      </c>
      <c r="K62" s="31">
        <v>1802.1489999999999</v>
      </c>
      <c r="L62" s="32">
        <v>1368.81</v>
      </c>
      <c r="M62" s="95">
        <f t="shared" si="5"/>
        <v>1.3165808256807008</v>
      </c>
      <c r="N62" s="31">
        <v>1521.2850000000001</v>
      </c>
      <c r="O62" s="32">
        <v>1273.25</v>
      </c>
      <c r="P62" s="95">
        <f t="shared" si="6"/>
        <v>1.1948046338111133</v>
      </c>
      <c r="Q62" s="96"/>
      <c r="R62" s="32">
        <v>2000.0899999999997</v>
      </c>
      <c r="S62" s="97">
        <f t="shared" si="7"/>
        <v>0</v>
      </c>
      <c r="T62" s="96"/>
      <c r="U62" s="32">
        <v>2149.54</v>
      </c>
      <c r="V62" s="97">
        <f t="shared" si="8"/>
        <v>0</v>
      </c>
      <c r="W62" s="96"/>
      <c r="X62" s="32">
        <v>184.33</v>
      </c>
      <c r="Y62" s="97">
        <f t="shared" si="9"/>
        <v>0</v>
      </c>
    </row>
  </sheetData>
  <mergeCells count="16">
    <mergeCell ref="W5:X5"/>
    <mergeCell ref="T5:U5"/>
    <mergeCell ref="Q5:R5"/>
    <mergeCell ref="B5:C5"/>
    <mergeCell ref="E5:F5"/>
    <mergeCell ref="H5:I5"/>
    <mergeCell ref="K5:L5"/>
    <mergeCell ref="N5:O5"/>
    <mergeCell ref="Q36:R36"/>
    <mergeCell ref="T36:U36"/>
    <mergeCell ref="W36:X36"/>
    <mergeCell ref="B36:C36"/>
    <mergeCell ref="E36:F36"/>
    <mergeCell ref="H36:I36"/>
    <mergeCell ref="K36:L36"/>
    <mergeCell ref="N36:O36"/>
  </mergeCells>
  <conditionalFormatting sqref="D19:D23">
    <cfRule type="cellIs" dxfId="55" priority="73" operator="lessThan">
      <formula>1.35</formula>
    </cfRule>
    <cfRule type="cellIs" dxfId="54" priority="74" operator="greaterThan">
      <formula>1.35</formula>
    </cfRule>
  </conditionalFormatting>
  <conditionalFormatting sqref="D26:D31">
    <cfRule type="cellIs" dxfId="53" priority="69" operator="lessThan">
      <formula>1.35</formula>
    </cfRule>
    <cfRule type="cellIs" dxfId="52" priority="70" operator="greaterThan">
      <formula>1.35</formula>
    </cfRule>
  </conditionalFormatting>
  <conditionalFormatting sqref="G19:G23">
    <cfRule type="cellIs" dxfId="51" priority="67" operator="lessThan">
      <formula>1.35</formula>
    </cfRule>
    <cfRule type="cellIs" dxfId="50" priority="68" operator="greaterThan">
      <formula>1.35</formula>
    </cfRule>
  </conditionalFormatting>
  <conditionalFormatting sqref="G26:G31">
    <cfRule type="cellIs" dxfId="49" priority="63" operator="lessThan">
      <formula>1.35</formula>
    </cfRule>
    <cfRule type="cellIs" dxfId="48" priority="64" operator="greaterThan">
      <formula>1.35</formula>
    </cfRule>
  </conditionalFormatting>
  <conditionalFormatting sqref="J19:J23">
    <cfRule type="cellIs" dxfId="47" priority="61" operator="lessThan">
      <formula>1.35</formula>
    </cfRule>
    <cfRule type="cellIs" dxfId="46" priority="62" operator="greaterThan">
      <formula>1.35</formula>
    </cfRule>
  </conditionalFormatting>
  <conditionalFormatting sqref="J26:J31">
    <cfRule type="cellIs" dxfId="45" priority="57" operator="lessThan">
      <formula>1.35</formula>
    </cfRule>
    <cfRule type="cellIs" dxfId="44" priority="58" operator="greaterThan">
      <formula>1.35</formula>
    </cfRule>
  </conditionalFormatting>
  <conditionalFormatting sqref="M19:M23">
    <cfRule type="cellIs" dxfId="43" priority="55" operator="lessThan">
      <formula>1.35</formula>
    </cfRule>
    <cfRule type="cellIs" dxfId="42" priority="56" operator="greaterThan">
      <formula>1.35</formula>
    </cfRule>
  </conditionalFormatting>
  <conditionalFormatting sqref="M26:M31">
    <cfRule type="cellIs" dxfId="41" priority="51" operator="lessThan">
      <formula>1.35</formula>
    </cfRule>
    <cfRule type="cellIs" dxfId="40" priority="52" operator="greaterThan">
      <formula>1.35</formula>
    </cfRule>
  </conditionalFormatting>
  <conditionalFormatting sqref="P19:P23">
    <cfRule type="cellIs" dxfId="39" priority="49" operator="lessThan">
      <formula>1.35</formula>
    </cfRule>
    <cfRule type="cellIs" dxfId="38" priority="50" operator="greaterThan">
      <formula>1.35</formula>
    </cfRule>
  </conditionalFormatting>
  <conditionalFormatting sqref="P26:P31">
    <cfRule type="cellIs" dxfId="37" priority="45" operator="lessThan">
      <formula>1.35</formula>
    </cfRule>
    <cfRule type="cellIs" dxfId="36" priority="46" operator="greaterThan">
      <formula>1.35</formula>
    </cfRule>
  </conditionalFormatting>
  <conditionalFormatting sqref="S19:S23">
    <cfRule type="cellIs" dxfId="35" priority="43" operator="lessThan">
      <formula>1.35</formula>
    </cfRule>
    <cfRule type="cellIs" dxfId="34" priority="44" operator="greaterThan">
      <formula>1.35</formula>
    </cfRule>
  </conditionalFormatting>
  <conditionalFormatting sqref="S26:S31">
    <cfRule type="cellIs" dxfId="33" priority="39" operator="lessThan">
      <formula>1.35</formula>
    </cfRule>
    <cfRule type="cellIs" dxfId="32" priority="40" operator="greaterThan">
      <formula>1.35</formula>
    </cfRule>
  </conditionalFormatting>
  <conditionalFormatting sqref="V19:V23 Y19:Y23">
    <cfRule type="cellIs" dxfId="31" priority="37" operator="lessThan">
      <formula>1.35</formula>
    </cfRule>
    <cfRule type="cellIs" dxfId="30" priority="38" operator="greaterThan">
      <formula>1.35</formula>
    </cfRule>
  </conditionalFormatting>
  <conditionalFormatting sqref="V26:V31 Y26:Y31">
    <cfRule type="cellIs" dxfId="29" priority="35" operator="lessThan">
      <formula>1.35</formula>
    </cfRule>
    <cfRule type="cellIs" dxfId="28" priority="36" operator="greaterThan">
      <formula>1.35</formula>
    </cfRule>
  </conditionalFormatting>
  <conditionalFormatting sqref="D50:D54">
    <cfRule type="cellIs" dxfId="27" priority="27" operator="lessThan">
      <formula>1.35</formula>
    </cfRule>
    <cfRule type="cellIs" dxfId="26" priority="28" operator="greaterThan">
      <formula>1.35</formula>
    </cfRule>
  </conditionalFormatting>
  <conditionalFormatting sqref="D57:D62">
    <cfRule type="cellIs" dxfId="25" priority="25" operator="lessThan">
      <formula>1.35</formula>
    </cfRule>
    <cfRule type="cellIs" dxfId="24" priority="26" operator="greaterThan">
      <formula>1.35</formula>
    </cfRule>
  </conditionalFormatting>
  <conditionalFormatting sqref="G50:G54">
    <cfRule type="cellIs" dxfId="23" priority="23" operator="lessThan">
      <formula>1.35</formula>
    </cfRule>
    <cfRule type="cellIs" dxfId="22" priority="24" operator="greaterThan">
      <formula>1.35</formula>
    </cfRule>
  </conditionalFormatting>
  <conditionalFormatting sqref="G57:G62">
    <cfRule type="cellIs" dxfId="21" priority="21" operator="lessThan">
      <formula>1.35</formula>
    </cfRule>
    <cfRule type="cellIs" dxfId="20" priority="22" operator="greaterThan">
      <formula>1.35</formula>
    </cfRule>
  </conditionalFormatting>
  <conditionalFormatting sqref="J50:J54">
    <cfRule type="cellIs" dxfId="19" priority="19" operator="lessThan">
      <formula>1.35</formula>
    </cfRule>
    <cfRule type="cellIs" dxfId="18" priority="20" operator="greaterThan">
      <formula>1.35</formula>
    </cfRule>
  </conditionalFormatting>
  <conditionalFormatting sqref="J57:J62">
    <cfRule type="cellIs" dxfId="17" priority="17" operator="lessThan">
      <formula>1.35</formula>
    </cfRule>
    <cfRule type="cellIs" dxfId="16" priority="18" operator="greaterThan">
      <formula>1.35</formula>
    </cfRule>
  </conditionalFormatting>
  <conditionalFormatting sqref="M50:M54">
    <cfRule type="cellIs" dxfId="15" priority="15" operator="lessThan">
      <formula>1.35</formula>
    </cfRule>
    <cfRule type="cellIs" dxfId="14" priority="16" operator="greaterThan">
      <formula>1.35</formula>
    </cfRule>
  </conditionalFormatting>
  <conditionalFormatting sqref="M57:M62">
    <cfRule type="cellIs" dxfId="13" priority="13" operator="lessThan">
      <formula>1.35</formula>
    </cfRule>
    <cfRule type="cellIs" dxfId="12" priority="14" operator="greaterThan">
      <formula>1.35</formula>
    </cfRule>
  </conditionalFormatting>
  <conditionalFormatting sqref="P50:P54">
    <cfRule type="cellIs" dxfId="11" priority="11" operator="lessThan">
      <formula>1.35</formula>
    </cfRule>
    <cfRule type="cellIs" dxfId="10" priority="12" operator="greaterThan">
      <formula>1.35</formula>
    </cfRule>
  </conditionalFormatting>
  <conditionalFormatting sqref="P57:P62">
    <cfRule type="cellIs" dxfId="9" priority="9" operator="lessThan">
      <formula>1.35</formula>
    </cfRule>
    <cfRule type="cellIs" dxfId="8" priority="10" operator="greaterThan">
      <formula>1.35</formula>
    </cfRule>
  </conditionalFormatting>
  <conditionalFormatting sqref="S50:S54">
    <cfRule type="cellIs" dxfId="7" priority="7" operator="lessThan">
      <formula>1.35</formula>
    </cfRule>
    <cfRule type="cellIs" dxfId="6" priority="8" operator="greaterThan">
      <formula>1.35</formula>
    </cfRule>
  </conditionalFormatting>
  <conditionalFormatting sqref="S57:S62">
    <cfRule type="cellIs" dxfId="5" priority="5" operator="lessThan">
      <formula>1.35</formula>
    </cfRule>
    <cfRule type="cellIs" dxfId="4" priority="6" operator="greaterThan">
      <formula>1.35</formula>
    </cfRule>
  </conditionalFormatting>
  <conditionalFormatting sqref="V50:V54 Y50:Y54">
    <cfRule type="cellIs" dxfId="3" priority="3" operator="lessThan">
      <formula>1.35</formula>
    </cfRule>
    <cfRule type="cellIs" dxfId="2" priority="4" operator="greaterThan">
      <formula>1.35</formula>
    </cfRule>
  </conditionalFormatting>
  <conditionalFormatting sqref="V57:V62 Y57:Y62">
    <cfRule type="cellIs" dxfId="1" priority="1" operator="lessThan">
      <formula>1.35</formula>
    </cfRule>
    <cfRule type="cellIs" dxfId="0" priority="2" operator="greaterThan">
      <formula>1.35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0DDD-DEDA-435F-9580-2E64B348382F}">
  <dimension ref="A1:AI48"/>
  <sheetViews>
    <sheetView workbookViewId="0">
      <selection activeCell="A19" sqref="A19"/>
    </sheetView>
  </sheetViews>
  <sheetFormatPr defaultRowHeight="15"/>
  <cols>
    <col min="1" max="1" width="20.85546875" customWidth="1"/>
    <col min="2" max="2" width="18.42578125" customWidth="1"/>
    <col min="5" max="5" width="12.140625" customWidth="1"/>
    <col min="7" max="7" width="13.85546875" customWidth="1"/>
    <col min="8" max="8" width="12" customWidth="1"/>
  </cols>
  <sheetData>
    <row r="1" spans="1:35">
      <c r="A1" s="118" t="s">
        <v>116</v>
      </c>
    </row>
    <row r="4" spans="1:35" ht="18">
      <c r="A4" s="117" t="s">
        <v>117</v>
      </c>
    </row>
    <row r="5" spans="1:35" ht="45">
      <c r="A5" s="110" t="s">
        <v>118</v>
      </c>
      <c r="B5" s="110" t="s">
        <v>119</v>
      </c>
      <c r="C5" s="110" t="s">
        <v>120</v>
      </c>
      <c r="D5" s="110" t="s">
        <v>121</v>
      </c>
      <c r="E5" s="110" t="s">
        <v>122</v>
      </c>
      <c r="F5" s="110" t="s">
        <v>123</v>
      </c>
      <c r="G5" s="110" t="s">
        <v>124</v>
      </c>
      <c r="H5" s="110" t="s">
        <v>125</v>
      </c>
      <c r="I5" s="110" t="s">
        <v>63</v>
      </c>
      <c r="J5" s="110" t="s">
        <v>66</v>
      </c>
      <c r="K5" s="110" t="s">
        <v>126</v>
      </c>
      <c r="L5" s="110" t="s">
        <v>127</v>
      </c>
      <c r="M5" s="110" t="s">
        <v>128</v>
      </c>
      <c r="N5" s="110" t="s">
        <v>129</v>
      </c>
      <c r="O5" s="110" t="s">
        <v>130</v>
      </c>
      <c r="P5" s="110" t="s">
        <v>131</v>
      </c>
      <c r="Q5" s="110" t="s">
        <v>132</v>
      </c>
      <c r="R5" s="110" t="s">
        <v>133</v>
      </c>
      <c r="S5" s="110" t="s">
        <v>134</v>
      </c>
      <c r="T5" s="110" t="s">
        <v>135</v>
      </c>
      <c r="U5" s="110" t="s">
        <v>136</v>
      </c>
      <c r="V5" s="110" t="s">
        <v>137</v>
      </c>
      <c r="W5" s="110" t="s">
        <v>138</v>
      </c>
      <c r="X5" s="110" t="s">
        <v>139</v>
      </c>
      <c r="Y5" s="110" t="s">
        <v>140</v>
      </c>
      <c r="Z5" s="110" t="s">
        <v>141</v>
      </c>
      <c r="AA5" s="110" t="s">
        <v>142</v>
      </c>
      <c r="AB5" s="110" t="s">
        <v>143</v>
      </c>
      <c r="AC5" s="110" t="s">
        <v>144</v>
      </c>
      <c r="AD5" s="110" t="s">
        <v>145</v>
      </c>
      <c r="AE5" s="110" t="s">
        <v>146</v>
      </c>
      <c r="AF5" s="110" t="s">
        <v>147</v>
      </c>
      <c r="AG5" s="110" t="s">
        <v>148</v>
      </c>
      <c r="AH5" s="110" t="s">
        <v>149</v>
      </c>
      <c r="AI5" s="110" t="s">
        <v>150</v>
      </c>
    </row>
    <row r="6" spans="1:35">
      <c r="A6" s="144" t="s">
        <v>151</v>
      </c>
      <c r="B6" s="144">
        <v>40</v>
      </c>
      <c r="C6" s="144" t="s">
        <v>152</v>
      </c>
      <c r="D6" s="144" t="s">
        <v>153</v>
      </c>
      <c r="E6" s="144" t="s">
        <v>154</v>
      </c>
      <c r="F6" s="144" t="s">
        <v>155</v>
      </c>
      <c r="G6" s="144" t="s">
        <v>156</v>
      </c>
      <c r="H6" s="111" t="s">
        <v>157</v>
      </c>
      <c r="I6" s="112">
        <v>0.2412</v>
      </c>
      <c r="J6" s="112">
        <v>0.111</v>
      </c>
      <c r="K6" s="112">
        <v>0</v>
      </c>
      <c r="L6" s="112">
        <v>3.8899999999999997E-2</v>
      </c>
      <c r="M6" s="112">
        <v>0</v>
      </c>
      <c r="N6" s="112">
        <v>0</v>
      </c>
      <c r="O6" s="112">
        <v>0</v>
      </c>
      <c r="P6" s="112">
        <v>0.6089</v>
      </c>
      <c r="Q6" s="112">
        <v>0</v>
      </c>
      <c r="R6" s="112">
        <v>0</v>
      </c>
      <c r="S6" s="112">
        <v>0</v>
      </c>
      <c r="T6" s="112">
        <v>0.37790000000000001</v>
      </c>
      <c r="U6" s="112">
        <v>0.62209999999999999</v>
      </c>
      <c r="V6" s="112">
        <v>0</v>
      </c>
      <c r="W6" s="112">
        <v>0.122</v>
      </c>
      <c r="X6" s="112">
        <v>2E-3</v>
      </c>
      <c r="Y6" s="112">
        <v>0.873</v>
      </c>
      <c r="Z6" s="112">
        <v>6.0000000000000001E-3</v>
      </c>
      <c r="AA6" s="112">
        <v>9.4000000000000004E-3</v>
      </c>
      <c r="AB6" s="112">
        <v>0</v>
      </c>
      <c r="AC6" s="112">
        <v>0</v>
      </c>
      <c r="AD6" s="112">
        <v>0</v>
      </c>
      <c r="AE6" s="112">
        <v>0</v>
      </c>
      <c r="AF6" s="112">
        <v>0</v>
      </c>
      <c r="AG6" s="112">
        <v>0</v>
      </c>
      <c r="AH6" s="112">
        <v>0</v>
      </c>
      <c r="AI6" s="112">
        <v>0</v>
      </c>
    </row>
    <row r="7" spans="1:35" ht="29.25">
      <c r="A7" s="145"/>
      <c r="B7" s="145"/>
      <c r="C7" s="145"/>
      <c r="D7" s="145"/>
      <c r="E7" s="145"/>
      <c r="F7" s="145"/>
      <c r="G7" s="145"/>
      <c r="H7" s="111" t="s">
        <v>158</v>
      </c>
      <c r="I7" s="112">
        <v>0.2412</v>
      </c>
      <c r="J7" s="112">
        <v>0.111</v>
      </c>
      <c r="K7" s="112">
        <v>0</v>
      </c>
      <c r="L7" s="112">
        <v>3.8899999999999997E-2</v>
      </c>
      <c r="M7" s="112">
        <v>0</v>
      </c>
      <c r="N7" s="112">
        <v>0</v>
      </c>
      <c r="O7" s="112">
        <v>0</v>
      </c>
      <c r="P7" s="112">
        <v>0.6089</v>
      </c>
      <c r="Q7" s="112">
        <v>0</v>
      </c>
      <c r="R7" s="112">
        <v>0</v>
      </c>
      <c r="S7" s="112">
        <v>0</v>
      </c>
      <c r="T7" s="112">
        <v>0.37790000000000001</v>
      </c>
      <c r="U7" s="112">
        <v>0.62209999999999999</v>
      </c>
      <c r="V7" s="112">
        <v>0</v>
      </c>
      <c r="W7" s="112">
        <v>7.0000000000000007E-2</v>
      </c>
      <c r="X7" s="112">
        <v>0</v>
      </c>
      <c r="Y7" s="112">
        <v>0.93</v>
      </c>
      <c r="Z7" s="112">
        <v>6.0000000000000001E-3</v>
      </c>
      <c r="AA7" s="112">
        <v>9.4000000000000004E-3</v>
      </c>
      <c r="AB7" s="112">
        <v>0</v>
      </c>
      <c r="AC7" s="112">
        <v>0</v>
      </c>
      <c r="AD7" s="112">
        <v>0</v>
      </c>
      <c r="AE7" s="112">
        <v>0</v>
      </c>
      <c r="AF7" s="112">
        <v>0</v>
      </c>
      <c r="AG7" s="112">
        <v>0</v>
      </c>
      <c r="AH7" s="112">
        <v>0</v>
      </c>
      <c r="AI7" s="112">
        <v>0</v>
      </c>
    </row>
    <row r="8" spans="1:35">
      <c r="A8" s="152" t="s">
        <v>151</v>
      </c>
      <c r="B8" s="152">
        <v>40</v>
      </c>
      <c r="C8" s="152" t="s">
        <v>152</v>
      </c>
      <c r="D8" s="152" t="s">
        <v>153</v>
      </c>
      <c r="E8" s="152" t="s">
        <v>154</v>
      </c>
      <c r="F8" s="152" t="s">
        <v>155</v>
      </c>
      <c r="G8" s="152" t="s">
        <v>159</v>
      </c>
      <c r="H8" s="113" t="s">
        <v>157</v>
      </c>
      <c r="I8" s="114">
        <v>0.50929999999999997</v>
      </c>
      <c r="J8" s="114">
        <v>0.13750000000000001</v>
      </c>
      <c r="K8" s="114">
        <v>0</v>
      </c>
      <c r="L8" s="114">
        <v>3.8199999999999998E-2</v>
      </c>
      <c r="M8" s="114">
        <v>0</v>
      </c>
      <c r="N8" s="114">
        <v>0</v>
      </c>
      <c r="O8" s="114">
        <v>0</v>
      </c>
      <c r="P8" s="114">
        <v>0.31490000000000001</v>
      </c>
      <c r="Q8" s="114">
        <v>0.1827</v>
      </c>
      <c r="R8" s="114">
        <v>0</v>
      </c>
      <c r="S8" s="114">
        <v>0</v>
      </c>
      <c r="T8" s="114">
        <v>0.318</v>
      </c>
      <c r="U8" s="114">
        <v>0.31090000000000001</v>
      </c>
      <c r="V8" s="114">
        <v>0.37109999999999999</v>
      </c>
      <c r="W8" s="114">
        <v>0.16300000000000001</v>
      </c>
      <c r="X8" s="114">
        <v>0</v>
      </c>
      <c r="Y8" s="114">
        <v>0.83699999999999997</v>
      </c>
      <c r="Z8" s="114">
        <v>5.8999999999999999E-3</v>
      </c>
      <c r="AA8" s="114">
        <v>1.5599999999999999E-2</v>
      </c>
      <c r="AB8" s="114">
        <v>0</v>
      </c>
      <c r="AC8" s="114">
        <v>0</v>
      </c>
      <c r="AD8" s="114">
        <v>0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</row>
    <row r="9" spans="1:35" ht="29.25">
      <c r="A9" s="153"/>
      <c r="B9" s="153"/>
      <c r="C9" s="153"/>
      <c r="D9" s="153"/>
      <c r="E9" s="153"/>
      <c r="F9" s="153"/>
      <c r="G9" s="153"/>
      <c r="H9" s="113" t="s">
        <v>158</v>
      </c>
      <c r="I9" s="114">
        <v>0.50929999999999997</v>
      </c>
      <c r="J9" s="114">
        <v>0.13750000000000001</v>
      </c>
      <c r="K9" s="114">
        <v>0</v>
      </c>
      <c r="L9" s="114">
        <v>3.8199999999999998E-2</v>
      </c>
      <c r="M9" s="114">
        <v>0</v>
      </c>
      <c r="N9" s="114">
        <v>0</v>
      </c>
      <c r="O9" s="114">
        <v>0</v>
      </c>
      <c r="P9" s="114">
        <v>0.31490000000000001</v>
      </c>
      <c r="Q9" s="114">
        <v>0.1827</v>
      </c>
      <c r="R9" s="114">
        <v>0</v>
      </c>
      <c r="S9" s="114">
        <v>0</v>
      </c>
      <c r="T9" s="114">
        <v>0.318</v>
      </c>
      <c r="U9" s="114">
        <v>0.31090000000000001</v>
      </c>
      <c r="V9" s="114">
        <v>0.37109999999999999</v>
      </c>
      <c r="W9" s="114">
        <v>0.18099999999999999</v>
      </c>
      <c r="X9" s="114">
        <v>2E-3</v>
      </c>
      <c r="Y9" s="114">
        <v>0.81699999999999995</v>
      </c>
      <c r="Z9" s="114">
        <v>5.8999999999999999E-3</v>
      </c>
      <c r="AA9" s="114">
        <v>1.5599999999999999E-2</v>
      </c>
      <c r="AB9" s="114">
        <v>0</v>
      </c>
      <c r="AC9" s="114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</row>
    <row r="10" spans="1:35">
      <c r="A10" s="144" t="s">
        <v>151</v>
      </c>
      <c r="B10" s="144">
        <v>50</v>
      </c>
      <c r="C10" s="144" t="s">
        <v>152</v>
      </c>
      <c r="D10" s="144" t="s">
        <v>153</v>
      </c>
      <c r="E10" s="144" t="s">
        <v>154</v>
      </c>
      <c r="F10" s="144" t="s">
        <v>155</v>
      </c>
      <c r="G10" s="144" t="s">
        <v>160</v>
      </c>
      <c r="H10" s="111" t="s">
        <v>157</v>
      </c>
      <c r="I10" s="112">
        <v>0.90449999999999997</v>
      </c>
      <c r="J10" s="112">
        <v>9.5500000000000002E-2</v>
      </c>
      <c r="K10" s="112">
        <v>0</v>
      </c>
      <c r="L10" s="112">
        <v>0</v>
      </c>
      <c r="M10" s="112">
        <v>0</v>
      </c>
      <c r="N10" s="112">
        <v>0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0.32250000000000001</v>
      </c>
      <c r="U10" s="112">
        <v>0.67749999999999999</v>
      </c>
      <c r="V10" s="112">
        <v>0</v>
      </c>
      <c r="W10" s="112">
        <v>0.21199999999999999</v>
      </c>
      <c r="X10" s="112">
        <v>0</v>
      </c>
      <c r="Y10" s="112">
        <v>0.78800000000000003</v>
      </c>
      <c r="Z10" s="112">
        <v>9.4000000000000004E-3</v>
      </c>
      <c r="AA10" s="112">
        <v>2.6599999999999999E-2</v>
      </c>
      <c r="AB10" s="112">
        <v>0</v>
      </c>
      <c r="AC10" s="112">
        <v>0</v>
      </c>
      <c r="AD10" s="112">
        <v>0</v>
      </c>
      <c r="AE10" s="112">
        <v>0</v>
      </c>
      <c r="AF10" s="112">
        <v>0</v>
      </c>
      <c r="AG10" s="112">
        <v>0</v>
      </c>
      <c r="AH10" s="112">
        <v>0</v>
      </c>
      <c r="AI10" s="112">
        <v>0</v>
      </c>
    </row>
    <row r="11" spans="1:35" ht="29.25">
      <c r="A11" s="145"/>
      <c r="B11" s="145"/>
      <c r="C11" s="145"/>
      <c r="D11" s="145"/>
      <c r="E11" s="145"/>
      <c r="F11" s="145"/>
      <c r="G11" s="145"/>
      <c r="H11" s="111" t="s">
        <v>158</v>
      </c>
      <c r="I11" s="112">
        <v>0.90449999999999997</v>
      </c>
      <c r="J11" s="112">
        <v>9.5500000000000002E-2</v>
      </c>
      <c r="K11" s="112">
        <v>0</v>
      </c>
      <c r="L11" s="112">
        <v>0</v>
      </c>
      <c r="M11" s="112">
        <v>0</v>
      </c>
      <c r="N11" s="112">
        <v>0</v>
      </c>
      <c r="O11" s="112">
        <v>0</v>
      </c>
      <c r="P11" s="112">
        <v>0</v>
      </c>
      <c r="Q11" s="112">
        <v>0</v>
      </c>
      <c r="R11" s="112">
        <v>0</v>
      </c>
      <c r="S11" s="112">
        <v>0</v>
      </c>
      <c r="T11" s="112">
        <v>0.32250000000000001</v>
      </c>
      <c r="U11" s="112">
        <v>0.67749999999999999</v>
      </c>
      <c r="V11" s="112">
        <v>0</v>
      </c>
      <c r="W11" s="112">
        <v>0.112</v>
      </c>
      <c r="X11" s="112">
        <v>0</v>
      </c>
      <c r="Y11" s="112">
        <v>0.88800000000000001</v>
      </c>
      <c r="Z11" s="112">
        <v>9.4000000000000004E-3</v>
      </c>
      <c r="AA11" s="112">
        <v>2.6599999999999999E-2</v>
      </c>
      <c r="AB11" s="112">
        <v>0</v>
      </c>
      <c r="AC11" s="112">
        <v>0</v>
      </c>
      <c r="AD11" s="112">
        <v>0</v>
      </c>
      <c r="AE11" s="112">
        <v>0</v>
      </c>
      <c r="AF11" s="112">
        <v>0</v>
      </c>
      <c r="AG11" s="112">
        <v>0</v>
      </c>
      <c r="AH11" s="112">
        <v>0</v>
      </c>
      <c r="AI11" s="112">
        <v>0</v>
      </c>
    </row>
    <row r="12" spans="1:35">
      <c r="A12" s="152" t="s">
        <v>151</v>
      </c>
      <c r="B12" s="152">
        <v>40</v>
      </c>
      <c r="C12" s="152" t="s">
        <v>152</v>
      </c>
      <c r="D12" s="152" t="s">
        <v>153</v>
      </c>
      <c r="E12" s="152" t="s">
        <v>154</v>
      </c>
      <c r="F12" s="152" t="s">
        <v>155</v>
      </c>
      <c r="G12" s="152" t="s">
        <v>161</v>
      </c>
      <c r="H12" s="113" t="s">
        <v>157</v>
      </c>
      <c r="I12" s="114">
        <v>0.94040000000000001</v>
      </c>
      <c r="J12" s="114">
        <v>4.2799999999999998E-2</v>
      </c>
      <c r="K12" s="114">
        <v>0</v>
      </c>
      <c r="L12" s="114">
        <v>1.1599999999999999E-2</v>
      </c>
      <c r="M12" s="114">
        <v>0</v>
      </c>
      <c r="N12" s="114">
        <v>0</v>
      </c>
      <c r="O12" s="114">
        <v>0</v>
      </c>
      <c r="P12" s="114">
        <v>5.1999999999999998E-3</v>
      </c>
      <c r="Q12" s="114">
        <v>0</v>
      </c>
      <c r="R12" s="114">
        <v>0</v>
      </c>
      <c r="S12" s="114">
        <v>0</v>
      </c>
      <c r="T12" s="114">
        <v>0.36559999999999998</v>
      </c>
      <c r="U12" s="114">
        <v>0.63290000000000002</v>
      </c>
      <c r="V12" s="114">
        <v>1.5E-3</v>
      </c>
      <c r="W12" s="115">
        <v>0.249</v>
      </c>
      <c r="X12" s="115">
        <v>2E-3</v>
      </c>
      <c r="Y12" s="115">
        <v>0.749</v>
      </c>
      <c r="Z12" s="115">
        <v>8.3999999999999995E-3</v>
      </c>
      <c r="AA12" s="115">
        <v>2.64E-2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4">
        <v>0</v>
      </c>
      <c r="AI12" s="114">
        <v>0</v>
      </c>
    </row>
    <row r="13" spans="1:35" ht="29.25">
      <c r="A13" s="153"/>
      <c r="B13" s="153"/>
      <c r="C13" s="153"/>
      <c r="D13" s="153"/>
      <c r="E13" s="153"/>
      <c r="F13" s="153"/>
      <c r="G13" s="153"/>
      <c r="H13" s="113" t="s">
        <v>158</v>
      </c>
      <c r="I13" s="114">
        <v>0.94040000000000001</v>
      </c>
      <c r="J13" s="114">
        <v>4.2799999999999998E-2</v>
      </c>
      <c r="K13" s="114">
        <v>0</v>
      </c>
      <c r="L13" s="114">
        <v>1.1599999999999999E-2</v>
      </c>
      <c r="M13" s="114">
        <v>0</v>
      </c>
      <c r="N13" s="114">
        <v>0</v>
      </c>
      <c r="O13" s="114">
        <v>0</v>
      </c>
      <c r="P13" s="114">
        <v>5.1999999999999998E-3</v>
      </c>
      <c r="Q13" s="114">
        <v>0</v>
      </c>
      <c r="R13" s="114">
        <v>0</v>
      </c>
      <c r="S13" s="114">
        <v>0</v>
      </c>
      <c r="T13" s="114">
        <v>0.36559999999999998</v>
      </c>
      <c r="U13" s="114">
        <v>0.63290000000000002</v>
      </c>
      <c r="V13" s="114">
        <v>1.5E-3</v>
      </c>
      <c r="W13" s="115">
        <v>0.112</v>
      </c>
      <c r="X13" s="115">
        <v>0</v>
      </c>
      <c r="Y13" s="115">
        <v>0.88800000000000001</v>
      </c>
      <c r="Z13" s="115">
        <v>8.3999999999999995E-3</v>
      </c>
      <c r="AA13" s="115">
        <v>2.64E-2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4">
        <v>0</v>
      </c>
      <c r="AI13" s="114">
        <v>0</v>
      </c>
    </row>
    <row r="14" spans="1:35">
      <c r="A14" s="144" t="s">
        <v>151</v>
      </c>
      <c r="B14" s="144">
        <v>40</v>
      </c>
      <c r="C14" s="144" t="s">
        <v>152</v>
      </c>
      <c r="D14" s="144" t="s">
        <v>153</v>
      </c>
      <c r="E14" s="144" t="s">
        <v>154</v>
      </c>
      <c r="F14" s="144" t="s">
        <v>155</v>
      </c>
      <c r="G14" s="144" t="s">
        <v>162</v>
      </c>
      <c r="H14" s="111" t="s">
        <v>157</v>
      </c>
      <c r="I14" s="116">
        <v>0.1361</v>
      </c>
      <c r="J14" s="116">
        <v>7.9500000000000001E-2</v>
      </c>
      <c r="K14" s="116">
        <v>0</v>
      </c>
      <c r="L14" s="116">
        <v>9.1000000000000004E-3</v>
      </c>
      <c r="M14" s="116">
        <v>0</v>
      </c>
      <c r="N14" s="116">
        <v>0</v>
      </c>
      <c r="O14" s="116">
        <v>0</v>
      </c>
      <c r="P14" s="116">
        <v>0.77529999999999999</v>
      </c>
      <c r="Q14" s="116">
        <v>0.13550000000000001</v>
      </c>
      <c r="R14" s="116">
        <v>0.20130000000000001</v>
      </c>
      <c r="S14" s="116">
        <v>0.192</v>
      </c>
      <c r="T14" s="112">
        <v>7.1000000000000004E-3</v>
      </c>
      <c r="U14" s="112">
        <v>5.0000000000000001E-4</v>
      </c>
      <c r="V14" s="112">
        <v>0.99239999999999995</v>
      </c>
      <c r="W14" s="112">
        <v>6.9000000000000006E-2</v>
      </c>
      <c r="X14" s="112">
        <v>0</v>
      </c>
      <c r="Y14" s="112">
        <v>0.93100000000000005</v>
      </c>
      <c r="Z14" s="112">
        <v>2.3800000000000002E-2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</row>
    <row r="15" spans="1:35" ht="29.25">
      <c r="A15" s="145"/>
      <c r="B15" s="145"/>
      <c r="C15" s="145"/>
      <c r="D15" s="145"/>
      <c r="E15" s="145"/>
      <c r="F15" s="145"/>
      <c r="G15" s="145"/>
      <c r="H15" s="111" t="s">
        <v>158</v>
      </c>
      <c r="I15" s="116">
        <v>0.1361</v>
      </c>
      <c r="J15" s="116">
        <v>7.9500000000000001E-2</v>
      </c>
      <c r="K15" s="116">
        <v>0</v>
      </c>
      <c r="L15" s="116">
        <v>9.1000000000000004E-3</v>
      </c>
      <c r="M15" s="116">
        <v>0</v>
      </c>
      <c r="N15" s="116">
        <v>0</v>
      </c>
      <c r="O15" s="116">
        <v>0</v>
      </c>
      <c r="P15" s="116">
        <v>0.77529999999999999</v>
      </c>
      <c r="Q15" s="116">
        <v>0.13550000000000001</v>
      </c>
      <c r="R15" s="116">
        <v>0.20130000000000001</v>
      </c>
      <c r="S15" s="116">
        <v>0.192</v>
      </c>
      <c r="T15" s="112">
        <v>7.1000000000000004E-3</v>
      </c>
      <c r="U15" s="112">
        <v>5.0000000000000001E-4</v>
      </c>
      <c r="V15" s="112">
        <v>0.99239999999999995</v>
      </c>
      <c r="W15" s="112">
        <v>6.9000000000000006E-2</v>
      </c>
      <c r="X15" s="112">
        <v>0</v>
      </c>
      <c r="Y15" s="112">
        <v>0.93100000000000005</v>
      </c>
      <c r="Z15" s="112">
        <v>2.3800000000000002E-2</v>
      </c>
      <c r="AA15" s="112">
        <v>0</v>
      </c>
      <c r="AB15" s="112">
        <v>0</v>
      </c>
      <c r="AC15" s="112">
        <v>0</v>
      </c>
      <c r="AD15" s="112">
        <v>0</v>
      </c>
      <c r="AE15" s="112">
        <v>0</v>
      </c>
      <c r="AF15" s="112">
        <v>0</v>
      </c>
      <c r="AG15" s="112">
        <v>0</v>
      </c>
      <c r="AH15" s="112">
        <v>0</v>
      </c>
      <c r="AI15" s="112">
        <v>0</v>
      </c>
    </row>
    <row r="16" spans="1:35">
      <c r="A16" s="152" t="s">
        <v>151</v>
      </c>
      <c r="B16" s="152">
        <v>40</v>
      </c>
      <c r="C16" s="152" t="s">
        <v>152</v>
      </c>
      <c r="D16" s="152" t="s">
        <v>153</v>
      </c>
      <c r="E16" s="152" t="s">
        <v>154</v>
      </c>
      <c r="F16" s="152" t="s">
        <v>155</v>
      </c>
      <c r="G16" s="152" t="s">
        <v>163</v>
      </c>
      <c r="H16" s="113" t="s">
        <v>157</v>
      </c>
      <c r="I16" s="114">
        <v>0.76100000000000001</v>
      </c>
      <c r="J16" s="114">
        <v>8.3500000000000005E-2</v>
      </c>
      <c r="K16" s="114">
        <v>0</v>
      </c>
      <c r="L16" s="114">
        <v>3.09E-2</v>
      </c>
      <c r="M16" s="114">
        <v>0</v>
      </c>
      <c r="N16" s="114">
        <v>0</v>
      </c>
      <c r="O16" s="114">
        <v>0</v>
      </c>
      <c r="P16" s="114">
        <v>0.1246</v>
      </c>
      <c r="Q16" s="114">
        <v>0</v>
      </c>
      <c r="R16" s="114">
        <v>0</v>
      </c>
      <c r="S16" s="114">
        <v>0</v>
      </c>
      <c r="T16" s="114">
        <v>0.43859999999999999</v>
      </c>
      <c r="U16" s="114">
        <v>0.56140000000000001</v>
      </c>
      <c r="V16" s="114">
        <v>0</v>
      </c>
      <c r="W16" s="115">
        <v>0.151</v>
      </c>
      <c r="X16" s="115">
        <v>1E-3</v>
      </c>
      <c r="Y16" s="115">
        <v>0.84799999999999998</v>
      </c>
      <c r="Z16" s="115">
        <v>5.7999999999999996E-3</v>
      </c>
      <c r="AA16" s="115">
        <v>2.3800000000000002E-2</v>
      </c>
      <c r="AB16" s="115">
        <v>0</v>
      </c>
      <c r="AC16" s="115">
        <v>0</v>
      </c>
      <c r="AD16" s="115">
        <v>0</v>
      </c>
      <c r="AE16" s="115">
        <v>0</v>
      </c>
      <c r="AF16" s="115">
        <v>0</v>
      </c>
      <c r="AG16" s="115">
        <v>0</v>
      </c>
      <c r="AH16" s="114">
        <v>0</v>
      </c>
      <c r="AI16" s="114">
        <v>0</v>
      </c>
    </row>
    <row r="17" spans="1:35" ht="29.25">
      <c r="A17" s="153"/>
      <c r="B17" s="153"/>
      <c r="C17" s="153"/>
      <c r="D17" s="153"/>
      <c r="E17" s="153"/>
      <c r="F17" s="153"/>
      <c r="G17" s="153"/>
      <c r="H17" s="113" t="s">
        <v>158</v>
      </c>
      <c r="I17" s="114">
        <v>0.76100000000000001</v>
      </c>
      <c r="J17" s="114">
        <v>8.3500000000000005E-2</v>
      </c>
      <c r="K17" s="114">
        <v>0</v>
      </c>
      <c r="L17" s="114">
        <v>3.09E-2</v>
      </c>
      <c r="M17" s="114">
        <v>0</v>
      </c>
      <c r="N17" s="114">
        <v>0</v>
      </c>
      <c r="O17" s="114">
        <v>0</v>
      </c>
      <c r="P17" s="114">
        <v>0.1246</v>
      </c>
      <c r="Q17" s="114">
        <v>0</v>
      </c>
      <c r="R17" s="114">
        <v>0</v>
      </c>
      <c r="S17" s="114">
        <v>0</v>
      </c>
      <c r="T17" s="114">
        <v>0.43859999999999999</v>
      </c>
      <c r="U17" s="114">
        <v>0.56140000000000001</v>
      </c>
      <c r="V17" s="114">
        <v>0</v>
      </c>
      <c r="W17" s="115">
        <v>5.6000000000000001E-2</v>
      </c>
      <c r="X17" s="115">
        <v>0</v>
      </c>
      <c r="Y17" s="115">
        <v>0.94399999999999995</v>
      </c>
      <c r="Z17" s="115">
        <v>5.7999999999999996E-3</v>
      </c>
      <c r="AA17" s="115">
        <v>2.3800000000000002E-2</v>
      </c>
      <c r="AB17" s="115">
        <v>0</v>
      </c>
      <c r="AC17" s="115">
        <v>0</v>
      </c>
      <c r="AD17" s="115">
        <v>0</v>
      </c>
      <c r="AE17" s="115">
        <v>0</v>
      </c>
      <c r="AF17" s="115">
        <v>0</v>
      </c>
      <c r="AG17" s="115">
        <v>0</v>
      </c>
      <c r="AH17" s="114">
        <v>0</v>
      </c>
      <c r="AI17" s="114">
        <v>0</v>
      </c>
    </row>
    <row r="18" spans="1:35">
      <c r="A18" s="144" t="s">
        <v>151</v>
      </c>
      <c r="B18" s="144">
        <v>25</v>
      </c>
      <c r="C18" s="144" t="s">
        <v>152</v>
      </c>
      <c r="D18" s="144" t="s">
        <v>153</v>
      </c>
      <c r="E18" s="144" t="s">
        <v>154</v>
      </c>
      <c r="F18" s="144" t="s">
        <v>155</v>
      </c>
      <c r="G18" s="144" t="s">
        <v>164</v>
      </c>
      <c r="H18" s="111" t="s">
        <v>157</v>
      </c>
      <c r="I18" s="116">
        <v>0.05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  <c r="O18" s="116">
        <v>0</v>
      </c>
      <c r="P18" s="116">
        <v>0.95</v>
      </c>
      <c r="Q18" s="116">
        <v>0</v>
      </c>
      <c r="R18" s="116">
        <v>0.95</v>
      </c>
      <c r="S18" s="116">
        <v>0</v>
      </c>
      <c r="T18" s="112">
        <v>0</v>
      </c>
      <c r="U18" s="112">
        <v>0</v>
      </c>
      <c r="V18" s="112">
        <v>1</v>
      </c>
      <c r="W18" s="112">
        <v>0.02</v>
      </c>
      <c r="X18" s="112">
        <v>0</v>
      </c>
      <c r="Y18" s="112">
        <v>0.98</v>
      </c>
      <c r="Z18" s="112">
        <v>0</v>
      </c>
      <c r="AA18" s="112">
        <v>0</v>
      </c>
      <c r="AB18" s="112">
        <v>0</v>
      </c>
      <c r="AC18" s="112">
        <v>0</v>
      </c>
      <c r="AD18" s="112">
        <v>0</v>
      </c>
      <c r="AE18" s="112">
        <v>0</v>
      </c>
      <c r="AF18" s="112">
        <v>0</v>
      </c>
      <c r="AG18" s="112">
        <v>0</v>
      </c>
      <c r="AH18" s="112">
        <v>0</v>
      </c>
      <c r="AI18" s="112">
        <v>0</v>
      </c>
    </row>
    <row r="19" spans="1:35" ht="29.25">
      <c r="A19" s="145"/>
      <c r="B19" s="145"/>
      <c r="C19" s="145"/>
      <c r="D19" s="145"/>
      <c r="E19" s="145"/>
      <c r="F19" s="145"/>
      <c r="G19" s="145"/>
      <c r="H19" s="111" t="s">
        <v>165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  <c r="O19" s="116">
        <v>0</v>
      </c>
      <c r="P19" s="116">
        <v>1</v>
      </c>
      <c r="Q19" s="116">
        <v>0</v>
      </c>
      <c r="R19" s="116">
        <v>1</v>
      </c>
      <c r="S19" s="116">
        <v>0</v>
      </c>
      <c r="T19" s="112">
        <v>0</v>
      </c>
      <c r="U19" s="112">
        <v>0</v>
      </c>
      <c r="V19" s="112">
        <v>1</v>
      </c>
      <c r="W19" s="112">
        <v>0</v>
      </c>
      <c r="X19" s="112">
        <v>0</v>
      </c>
      <c r="Y19" s="112">
        <v>1</v>
      </c>
      <c r="Z19" s="112">
        <v>0</v>
      </c>
      <c r="AA19" s="112">
        <v>0</v>
      </c>
      <c r="AB19" s="112">
        <v>0</v>
      </c>
      <c r="AC19" s="112">
        <v>0</v>
      </c>
      <c r="AD19" s="112">
        <v>0</v>
      </c>
      <c r="AE19" s="112">
        <v>0</v>
      </c>
      <c r="AF19" s="112">
        <v>0</v>
      </c>
      <c r="AG19" s="112">
        <v>0</v>
      </c>
      <c r="AH19" s="112">
        <v>0</v>
      </c>
      <c r="AI19" s="112">
        <v>0</v>
      </c>
    </row>
    <row r="20" spans="1:35">
      <c r="A20" s="152" t="s">
        <v>151</v>
      </c>
      <c r="B20" s="152">
        <v>40</v>
      </c>
      <c r="C20" s="152" t="s">
        <v>152</v>
      </c>
      <c r="D20" s="152" t="s">
        <v>153</v>
      </c>
      <c r="E20" s="152" t="s">
        <v>154</v>
      </c>
      <c r="F20" s="152" t="s">
        <v>155</v>
      </c>
      <c r="G20" s="152" t="s">
        <v>166</v>
      </c>
      <c r="H20" s="113" t="s">
        <v>157</v>
      </c>
      <c r="I20" s="114">
        <v>0.39650000000000002</v>
      </c>
      <c r="J20" s="114">
        <v>5.1200000000000002E-2</v>
      </c>
      <c r="K20" s="114">
        <v>3.1E-2</v>
      </c>
      <c r="L20" s="114">
        <v>3.44E-2</v>
      </c>
      <c r="M20" s="114">
        <v>0</v>
      </c>
      <c r="N20" s="114">
        <v>0.19520000000000001</v>
      </c>
      <c r="O20" s="114">
        <v>0</v>
      </c>
      <c r="P20" s="114">
        <v>0.29170000000000001</v>
      </c>
      <c r="Q20" s="114">
        <v>0.224</v>
      </c>
      <c r="R20" s="114">
        <v>0</v>
      </c>
      <c r="S20" s="114">
        <v>0</v>
      </c>
      <c r="T20" s="114">
        <v>0.20630000000000001</v>
      </c>
      <c r="U20" s="114">
        <v>0.4708</v>
      </c>
      <c r="V20" s="114">
        <v>0.32290000000000002</v>
      </c>
      <c r="W20" s="114">
        <v>0.107</v>
      </c>
      <c r="X20" s="114">
        <v>0</v>
      </c>
      <c r="Y20" s="114">
        <v>0.89300000000000002</v>
      </c>
      <c r="Z20" s="114">
        <v>1.8499999999999999E-2</v>
      </c>
      <c r="AA20" s="114">
        <v>1.1000000000000001E-3</v>
      </c>
      <c r="AB20" s="114">
        <v>0</v>
      </c>
      <c r="AC20" s="114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</row>
    <row r="21" spans="1:35" ht="29.25">
      <c r="A21" s="153"/>
      <c r="B21" s="153"/>
      <c r="C21" s="153"/>
      <c r="D21" s="153"/>
      <c r="E21" s="153"/>
      <c r="F21" s="153"/>
      <c r="G21" s="153"/>
      <c r="H21" s="113" t="s">
        <v>165</v>
      </c>
      <c r="I21" s="114">
        <v>0.32940000000000003</v>
      </c>
      <c r="J21" s="114">
        <v>5.7599999999999998E-2</v>
      </c>
      <c r="K21" s="114">
        <v>3.5200000000000002E-2</v>
      </c>
      <c r="L21" s="114">
        <v>3.6999999999999998E-2</v>
      </c>
      <c r="M21" s="114">
        <v>0</v>
      </c>
      <c r="N21" s="114">
        <v>0.22900000000000001</v>
      </c>
      <c r="O21" s="114">
        <v>0</v>
      </c>
      <c r="P21" s="114">
        <v>0.31180000000000002</v>
      </c>
      <c r="Q21" s="114">
        <v>0.224</v>
      </c>
      <c r="R21" s="114">
        <v>0</v>
      </c>
      <c r="S21" s="114">
        <v>0</v>
      </c>
      <c r="T21" s="114">
        <v>0.20630000000000001</v>
      </c>
      <c r="U21" s="114">
        <v>0.4708</v>
      </c>
      <c r="V21" s="114">
        <v>0.32290000000000002</v>
      </c>
      <c r="W21" s="114">
        <v>0.107</v>
      </c>
      <c r="X21" s="114">
        <v>0</v>
      </c>
      <c r="Y21" s="114">
        <v>0.89300000000000002</v>
      </c>
      <c r="Z21" s="114">
        <v>1.8499999999999999E-2</v>
      </c>
      <c r="AA21" s="114">
        <v>1.1000000000000001E-3</v>
      </c>
      <c r="AB21" s="114">
        <v>0</v>
      </c>
      <c r="AC21" s="114">
        <v>0</v>
      </c>
      <c r="AD21" s="114">
        <v>0</v>
      </c>
      <c r="AE21" s="114">
        <v>0</v>
      </c>
      <c r="AF21" s="114">
        <v>0</v>
      </c>
      <c r="AG21" s="114">
        <v>0</v>
      </c>
      <c r="AH21" s="114">
        <v>0</v>
      </c>
      <c r="AI21" s="114">
        <v>0</v>
      </c>
    </row>
    <row r="22" spans="1:35">
      <c r="A22" s="144" t="s">
        <v>151</v>
      </c>
      <c r="B22" s="144">
        <v>25</v>
      </c>
      <c r="C22" s="144" t="s">
        <v>152</v>
      </c>
      <c r="D22" s="144" t="s">
        <v>153</v>
      </c>
      <c r="E22" s="144" t="s">
        <v>154</v>
      </c>
      <c r="F22" s="144" t="s">
        <v>155</v>
      </c>
      <c r="G22" s="144" t="s">
        <v>167</v>
      </c>
      <c r="H22" s="111" t="s">
        <v>157</v>
      </c>
      <c r="I22" s="112">
        <v>3.2000000000000001E-2</v>
      </c>
      <c r="J22" s="112">
        <v>2.81E-2</v>
      </c>
      <c r="K22" s="112">
        <v>0</v>
      </c>
      <c r="L22" s="112">
        <v>1.1000000000000001E-3</v>
      </c>
      <c r="M22" s="112">
        <v>0</v>
      </c>
      <c r="N22" s="112">
        <v>0</v>
      </c>
      <c r="O22" s="112">
        <v>0</v>
      </c>
      <c r="P22" s="112">
        <v>0.93869999999999998</v>
      </c>
      <c r="Q22" s="112">
        <v>7.7000000000000002E-3</v>
      </c>
      <c r="R22" s="112">
        <v>4.7500000000000001E-2</v>
      </c>
      <c r="S22" s="112">
        <v>0.77259999999999995</v>
      </c>
      <c r="T22" s="112">
        <v>1.1999999999999999E-3</v>
      </c>
      <c r="U22" s="112">
        <v>1.6000000000000001E-3</v>
      </c>
      <c r="V22" s="112">
        <v>0.99719999999999998</v>
      </c>
      <c r="W22" s="112">
        <v>2.1000000000000001E-2</v>
      </c>
      <c r="X22" s="112">
        <v>0</v>
      </c>
      <c r="Y22" s="112">
        <v>0.97899999999999998</v>
      </c>
      <c r="Z22" s="112">
        <v>5.9999999999999995E-4</v>
      </c>
      <c r="AA22" s="112">
        <v>0</v>
      </c>
      <c r="AB22" s="112">
        <v>0</v>
      </c>
      <c r="AC22" s="112">
        <v>0</v>
      </c>
      <c r="AD22" s="112">
        <v>0</v>
      </c>
      <c r="AE22" s="112">
        <v>0</v>
      </c>
      <c r="AF22" s="112">
        <v>0</v>
      </c>
      <c r="AG22" s="112">
        <v>0</v>
      </c>
      <c r="AH22" s="112">
        <v>0</v>
      </c>
      <c r="AI22" s="112">
        <v>0</v>
      </c>
    </row>
    <row r="23" spans="1:35">
      <c r="A23" s="145"/>
      <c r="B23" s="145"/>
      <c r="C23" s="145"/>
      <c r="D23" s="145"/>
      <c r="E23" s="145"/>
      <c r="F23" s="145"/>
      <c r="G23" s="145"/>
      <c r="H23" s="111" t="s">
        <v>157</v>
      </c>
      <c r="I23" s="112">
        <v>1</v>
      </c>
      <c r="J23" s="112">
        <v>0</v>
      </c>
      <c r="K23" s="112">
        <v>0</v>
      </c>
      <c r="L23" s="112">
        <v>0</v>
      </c>
      <c r="M23" s="112">
        <v>0</v>
      </c>
      <c r="N23" s="112">
        <v>0</v>
      </c>
      <c r="O23" s="112">
        <v>0</v>
      </c>
      <c r="P23" s="112">
        <v>0</v>
      </c>
      <c r="Q23" s="112">
        <v>0</v>
      </c>
      <c r="R23" s="112">
        <v>0</v>
      </c>
      <c r="S23" s="112">
        <v>0</v>
      </c>
      <c r="T23" s="112">
        <v>6.9900000000000004E-2</v>
      </c>
      <c r="U23" s="112">
        <v>0.93010000000000004</v>
      </c>
      <c r="V23" s="112">
        <v>0</v>
      </c>
      <c r="W23" s="112">
        <v>4.4999999999999998E-2</v>
      </c>
      <c r="X23" s="112">
        <v>0</v>
      </c>
      <c r="Y23" s="112">
        <v>0.95499999999999996</v>
      </c>
      <c r="Z23" s="112">
        <v>0</v>
      </c>
      <c r="AA23" s="112">
        <v>0</v>
      </c>
      <c r="AB23" s="112">
        <v>0</v>
      </c>
      <c r="AC23" s="112">
        <v>0</v>
      </c>
      <c r="AD23" s="112">
        <v>0</v>
      </c>
      <c r="AE23" s="112">
        <v>0</v>
      </c>
      <c r="AF23" s="112">
        <v>0</v>
      </c>
      <c r="AG23" s="112">
        <v>0</v>
      </c>
      <c r="AH23" s="112">
        <v>0</v>
      </c>
      <c r="AI23" s="112">
        <v>0</v>
      </c>
    </row>
    <row r="25" spans="1:35">
      <c r="A25" s="118" t="s">
        <v>168</v>
      </c>
    </row>
    <row r="27" spans="1:35">
      <c r="A27" s="146" t="s">
        <v>169</v>
      </c>
      <c r="B27" s="147"/>
      <c r="C27" s="147"/>
      <c r="D27" s="147"/>
      <c r="E27" s="147"/>
      <c r="F27" s="148"/>
    </row>
    <row r="28" spans="1:35" ht="15" customHeight="1">
      <c r="A28" s="119" t="s">
        <v>124</v>
      </c>
      <c r="B28" s="119" t="s">
        <v>125</v>
      </c>
      <c r="C28" s="149"/>
      <c r="D28" s="150"/>
      <c r="E28" s="150"/>
      <c r="F28" s="151"/>
    </row>
    <row r="29" spans="1:35">
      <c r="A29" s="149" t="s">
        <v>170</v>
      </c>
      <c r="B29" s="150"/>
      <c r="C29" s="150"/>
      <c r="D29" s="150"/>
      <c r="E29" s="150"/>
      <c r="F29" s="151"/>
      <c r="G29" t="s">
        <v>169</v>
      </c>
    </row>
    <row r="30" spans="1:35" ht="29.25">
      <c r="A30" s="119"/>
      <c r="B30" s="119"/>
      <c r="C30" s="119" t="s">
        <v>171</v>
      </c>
      <c r="D30" s="119" t="s">
        <v>172</v>
      </c>
      <c r="E30" s="119" t="s">
        <v>173</v>
      </c>
      <c r="F30" s="119" t="s">
        <v>174</v>
      </c>
      <c r="G30" s="119" t="s">
        <v>175</v>
      </c>
    </row>
    <row r="31" spans="1:35">
      <c r="A31" s="140" t="s">
        <v>159</v>
      </c>
      <c r="B31" s="120" t="s">
        <v>157</v>
      </c>
      <c r="C31" s="120">
        <v>201.43</v>
      </c>
      <c r="D31" s="120">
        <v>82.45</v>
      </c>
      <c r="E31" s="120">
        <v>2.52</v>
      </c>
      <c r="F31" s="120">
        <v>0.05</v>
      </c>
      <c r="G31" s="120"/>
    </row>
    <row r="32" spans="1:35" ht="29.25">
      <c r="A32" s="141"/>
      <c r="B32" s="120" t="s">
        <v>176</v>
      </c>
      <c r="C32" s="120">
        <v>191.66</v>
      </c>
      <c r="D32" s="120">
        <v>74.08</v>
      </c>
      <c r="E32" s="120">
        <v>2.6</v>
      </c>
      <c r="F32" s="120">
        <v>0.05</v>
      </c>
      <c r="G32" s="120">
        <v>268.41000000000003</v>
      </c>
    </row>
    <row r="33" spans="1:7">
      <c r="A33" s="142" t="s">
        <v>156</v>
      </c>
      <c r="B33" s="121" t="s">
        <v>157</v>
      </c>
      <c r="C33" s="121">
        <v>186.37</v>
      </c>
      <c r="D33" s="121">
        <v>93.02</v>
      </c>
      <c r="E33" s="121">
        <v>2.4700000000000002</v>
      </c>
      <c r="F33" s="121">
        <v>0.05</v>
      </c>
      <c r="G33" s="121"/>
    </row>
    <row r="34" spans="1:7" ht="29.25">
      <c r="A34" s="143"/>
      <c r="B34" s="121" t="s">
        <v>176</v>
      </c>
      <c r="C34" s="121">
        <v>138.4</v>
      </c>
      <c r="D34" s="121">
        <v>77.42</v>
      </c>
      <c r="E34" s="121">
        <v>2.27</v>
      </c>
      <c r="F34" s="121">
        <v>0.05</v>
      </c>
      <c r="G34" s="121">
        <v>218.16</v>
      </c>
    </row>
    <row r="35" spans="1:7">
      <c r="A35" s="140" t="s">
        <v>177</v>
      </c>
      <c r="B35" s="120" t="s">
        <v>157</v>
      </c>
      <c r="C35" s="120">
        <v>323.14</v>
      </c>
      <c r="D35" s="120">
        <v>115.94</v>
      </c>
      <c r="E35" s="120">
        <v>3.16</v>
      </c>
      <c r="F35" s="120">
        <v>0.05</v>
      </c>
      <c r="G35" s="120"/>
    </row>
    <row r="36" spans="1:7" ht="29.25">
      <c r="A36" s="141"/>
      <c r="B36" s="120" t="s">
        <v>176</v>
      </c>
      <c r="C36" s="120">
        <v>229.06</v>
      </c>
      <c r="D36" s="120">
        <v>85.89</v>
      </c>
      <c r="E36" s="120">
        <v>2.72</v>
      </c>
      <c r="F36" s="120">
        <v>0.05</v>
      </c>
      <c r="G36" s="120">
        <v>317.74</v>
      </c>
    </row>
    <row r="37" spans="1:7">
      <c r="A37" s="142" t="s">
        <v>178</v>
      </c>
      <c r="B37" s="121" t="s">
        <v>157</v>
      </c>
      <c r="C37" s="121">
        <v>353.25</v>
      </c>
      <c r="D37" s="121">
        <v>126.05</v>
      </c>
      <c r="E37" s="121">
        <v>3.32</v>
      </c>
      <c r="F37" s="121">
        <v>0.05</v>
      </c>
      <c r="G37" s="121"/>
    </row>
    <row r="38" spans="1:7" ht="29.25">
      <c r="A38" s="143"/>
      <c r="B38" s="121" t="s">
        <v>176</v>
      </c>
      <c r="C38" s="121">
        <v>228.76</v>
      </c>
      <c r="D38" s="121">
        <v>87.84</v>
      </c>
      <c r="E38" s="121">
        <v>2.71</v>
      </c>
      <c r="F38" s="121">
        <v>0.05</v>
      </c>
      <c r="G38" s="121">
        <v>319.38</v>
      </c>
    </row>
    <row r="39" spans="1:7">
      <c r="A39" s="140" t="s">
        <v>162</v>
      </c>
      <c r="B39" s="120" t="s">
        <v>157</v>
      </c>
      <c r="C39" s="120">
        <v>86.08</v>
      </c>
      <c r="D39" s="120">
        <v>19.420000000000002</v>
      </c>
      <c r="E39" s="120">
        <v>1.65</v>
      </c>
      <c r="F39" s="120">
        <v>0.05</v>
      </c>
      <c r="G39" s="120"/>
    </row>
    <row r="40" spans="1:7">
      <c r="A40" s="141"/>
      <c r="B40" s="120" t="s">
        <v>165</v>
      </c>
      <c r="C40" s="120">
        <v>73.92</v>
      </c>
      <c r="D40" s="120">
        <v>13.44</v>
      </c>
      <c r="E40" s="120">
        <v>1.65</v>
      </c>
      <c r="F40" s="120">
        <v>0.05</v>
      </c>
      <c r="G40" s="120">
        <v>89.06</v>
      </c>
    </row>
    <row r="41" spans="1:7">
      <c r="A41" s="142" t="s">
        <v>163</v>
      </c>
      <c r="B41" s="121" t="s">
        <v>157</v>
      </c>
      <c r="C41" s="121">
        <v>212.91</v>
      </c>
      <c r="D41" s="121">
        <v>102.69</v>
      </c>
      <c r="E41" s="121">
        <v>2.67</v>
      </c>
      <c r="F41" s="121">
        <v>0.05</v>
      </c>
      <c r="G41" s="121"/>
    </row>
    <row r="42" spans="1:7" ht="29.25">
      <c r="A42" s="143"/>
      <c r="B42" s="121" t="s">
        <v>176</v>
      </c>
      <c r="C42" s="121">
        <v>133.97</v>
      </c>
      <c r="D42" s="121">
        <v>78.150000000000006</v>
      </c>
      <c r="E42" s="121">
        <v>2.27</v>
      </c>
      <c r="F42" s="121">
        <v>0.05</v>
      </c>
      <c r="G42" s="121">
        <v>214.45</v>
      </c>
    </row>
    <row r="43" spans="1:7">
      <c r="A43" s="140" t="s">
        <v>179</v>
      </c>
      <c r="B43" s="120" t="s">
        <v>157</v>
      </c>
      <c r="C43" s="120">
        <v>35.44</v>
      </c>
      <c r="D43" s="120">
        <v>5.47</v>
      </c>
      <c r="E43" s="120">
        <v>1.35</v>
      </c>
      <c r="F43" s="120">
        <v>0.05</v>
      </c>
      <c r="G43" s="120"/>
    </row>
    <row r="44" spans="1:7">
      <c r="A44" s="141"/>
      <c r="B44" s="120" t="s">
        <v>165</v>
      </c>
      <c r="C44" s="120">
        <v>19.82</v>
      </c>
      <c r="D44" s="120">
        <v>0.98</v>
      </c>
      <c r="E44" s="120">
        <v>1.27</v>
      </c>
      <c r="F44" s="120">
        <v>0.05</v>
      </c>
      <c r="G44" s="120">
        <v>22.13</v>
      </c>
    </row>
    <row r="45" spans="1:7">
      <c r="A45" s="142" t="s">
        <v>180</v>
      </c>
      <c r="B45" s="121" t="s">
        <v>157</v>
      </c>
      <c r="C45" s="121">
        <v>40.78</v>
      </c>
      <c r="D45" s="121">
        <v>6.71</v>
      </c>
      <c r="E45" s="121">
        <v>1.4</v>
      </c>
      <c r="F45" s="121">
        <v>0.05</v>
      </c>
      <c r="G45" s="121">
        <v>48.95</v>
      </c>
    </row>
    <row r="46" spans="1:7">
      <c r="A46" s="143"/>
      <c r="B46" s="121" t="s">
        <v>165</v>
      </c>
      <c r="C46" s="121" t="s">
        <v>181</v>
      </c>
      <c r="D46" s="121" t="s">
        <v>181</v>
      </c>
      <c r="E46" s="121" t="s">
        <v>181</v>
      </c>
      <c r="F46" s="121" t="s">
        <v>181</v>
      </c>
      <c r="G46" s="121"/>
    </row>
    <row r="47" spans="1:7">
      <c r="A47" s="140" t="s">
        <v>166</v>
      </c>
      <c r="B47" s="120" t="s">
        <v>157</v>
      </c>
      <c r="C47" s="120">
        <v>149.16999999999999</v>
      </c>
      <c r="D47" s="120">
        <v>68.599999999999994</v>
      </c>
      <c r="E47" s="120">
        <v>2.2999999999999998</v>
      </c>
      <c r="F47" s="120">
        <v>0.05</v>
      </c>
      <c r="G47" s="120"/>
    </row>
    <row r="48" spans="1:7">
      <c r="A48" s="141"/>
      <c r="B48" s="120" t="s">
        <v>165</v>
      </c>
      <c r="C48" s="120">
        <v>149.03</v>
      </c>
      <c r="D48" s="120">
        <v>68.41</v>
      </c>
      <c r="E48" s="120">
        <v>2.2999999999999998</v>
      </c>
      <c r="F48" s="120">
        <v>0.05</v>
      </c>
      <c r="G48" s="120">
        <v>219.8</v>
      </c>
    </row>
  </sheetData>
  <mergeCells count="75"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6:F7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10:F11"/>
    <mergeCell ref="G14:G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F14:F15"/>
    <mergeCell ref="G18:G19"/>
    <mergeCell ref="A20:A21"/>
    <mergeCell ref="B20:B21"/>
    <mergeCell ref="C20:C21"/>
    <mergeCell ref="D20:D21"/>
    <mergeCell ref="E20:E21"/>
    <mergeCell ref="F20:F21"/>
    <mergeCell ref="G20:G21"/>
    <mergeCell ref="A18:A19"/>
    <mergeCell ref="B18:B19"/>
    <mergeCell ref="C18:C19"/>
    <mergeCell ref="D18:D19"/>
    <mergeCell ref="E18:E19"/>
    <mergeCell ref="F18:F19"/>
    <mergeCell ref="A33:A34"/>
    <mergeCell ref="A22:A23"/>
    <mergeCell ref="B22:B23"/>
    <mergeCell ref="C22:C23"/>
    <mergeCell ref="D22:D23"/>
    <mergeCell ref="G22:G23"/>
    <mergeCell ref="A27:F27"/>
    <mergeCell ref="C28:F28"/>
    <mergeCell ref="A29:F29"/>
    <mergeCell ref="A31:A32"/>
    <mergeCell ref="E22:E23"/>
    <mergeCell ref="F22:F23"/>
    <mergeCell ref="A47:A48"/>
    <mergeCell ref="A35:A36"/>
    <mergeCell ref="A37:A38"/>
    <mergeCell ref="A39:A40"/>
    <mergeCell ref="A41:A42"/>
    <mergeCell ref="A43:A44"/>
    <mergeCell ref="A45:A46"/>
  </mergeCells>
  <hyperlinks>
    <hyperlink ref="A1" r:id="rId1" xr:uid="{1B23E8CB-9C59-414D-9E54-5A0659BD108E}"/>
    <hyperlink ref="A25" r:id="rId2" xr:uid="{793DA3AF-0417-4F95-A082-E4285916B3B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a0e94f-b34e-4773-ae3e-5b9ed137b1e5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D91A10F2B8B449C9B4AFAF40415EF" ma:contentTypeVersion="18" ma:contentTypeDescription="Create a new document." ma:contentTypeScope="" ma:versionID="e1f9a8fa08df73298bcd7b9e2b4bf2ac">
  <xsd:schema xmlns:xsd="http://www.w3.org/2001/XMLSchema" xmlns:xs="http://www.w3.org/2001/XMLSchema" xmlns:p="http://schemas.microsoft.com/office/2006/metadata/properties" xmlns:ns2="63a0e94f-b34e-4773-ae3e-5b9ed137b1e5" xmlns:ns3="afb9eb76-72c7-4413-b4d3-a718690aa2d8" xmlns:ns4="a7bc6c04-a6f3-4b85-abcc-278c78dc556b" targetNamespace="http://schemas.microsoft.com/office/2006/metadata/properties" ma:root="true" ma:fieldsID="f0e41f3b3bbafb8629e354296852d6b7" ns2:_="" ns3:_="" ns4:_="">
    <xsd:import namespace="63a0e94f-b34e-4773-ae3e-5b9ed137b1e5"/>
    <xsd:import namespace="afb9eb76-72c7-4413-b4d3-a718690aa2d8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0e94f-b34e-4773-ae3e-5b9ed137b1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9eb76-72c7-4413-b4d3-a718690aa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4a4429f-7ae1-4543-a97a-6064adcb6f31}" ma:internalName="TaxCatchAll" ma:showField="CatchAllData" ma:web="afb9eb76-72c7-4413-b4d3-a718690aa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8EF3A-E83D-4894-ACA7-E564A1E1C9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61B8C3-C9DB-4D58-A711-0E77E4C61765}">
  <ds:schemaRefs>
    <ds:schemaRef ds:uri="http://schemas.microsoft.com/office/2006/metadata/properties"/>
    <ds:schemaRef ds:uri="http://schemas.microsoft.com/office/infopath/2007/PartnerControls"/>
    <ds:schemaRef ds:uri="63a0e94f-b34e-4773-ae3e-5b9ed137b1e5"/>
    <ds:schemaRef ds:uri="a7bc6c04-a6f3-4b85-abcc-278c78dc556b"/>
  </ds:schemaRefs>
</ds:datastoreItem>
</file>

<file path=customXml/itemProps3.xml><?xml version="1.0" encoding="utf-8"?>
<ds:datastoreItem xmlns:ds="http://schemas.openxmlformats.org/officeDocument/2006/customXml" ds:itemID="{17C75B4E-B83F-4DF5-8DBC-8039D459A7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a0e94f-b34e-4773-ae3e-5b9ed137b1e5"/>
    <ds:schemaRef ds:uri="afb9eb76-72c7-4413-b4d3-a718690aa2d8"/>
    <ds:schemaRef ds:uri="a7bc6c04-a6f3-4b85-abcc-278c78dc5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WW15_NVL P</vt:lpstr>
      <vt:lpstr>PowerRails</vt:lpstr>
      <vt:lpstr>OneVoice-Q1_2025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MVE-SV Generic Account</cp:lastModifiedBy>
  <cp:revision/>
  <dcterms:created xsi:type="dcterms:W3CDTF">2026-01-23T02:55:46Z</dcterms:created>
  <dcterms:modified xsi:type="dcterms:W3CDTF">2026-04-10T03:01:06Z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0x010100A90D91A10F2B8B449C9B4AFAF40415EF</vt:lpwstr>
  </property>
  <property fmtid="{D5CDD505-2E9C-101B-9397-08002B2CF9AE}" pid="3" name="MediaServiceImageTags">
    <vt:lpwstr/>
  </property>
</Properties>
</file>